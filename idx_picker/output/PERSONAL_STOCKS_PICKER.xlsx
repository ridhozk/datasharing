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creener" sheetId="2" state="visible" r:id="rId4"/>
    <sheet name="Company" sheetId="3" state="visible" r:id="rId5"/>
    <sheet name="Scenario" sheetId="4" state="visible" r:id="rId6"/>
    <sheet name="Sensitivity" sheetId="5" state="visible" r:id="rId7"/>
    <sheet name="Journal" sheetId="6" state="visible" r:id="rId8"/>
    <sheet name="Setup" sheetId="7" state="visible" r:id="rId9"/>
    <sheet name="RAW_idx_stocks" sheetId="8" state="visible" r:id="rId10"/>
    <sheet name="RAW_key_statistics" sheetId="9" state="visible" r:id="rId11"/>
    <sheet name="RAW_analyses" sheetId="10" state="visible" r:id="rId12"/>
    <sheet name="RAW_scores" sheetId="11" state="visible" r:id="rId13"/>
    <sheet name="RAW_history_quarterly" sheetId="12" state="visible" r:id="rId14"/>
    <sheet name="RAW_history_annual" sheetId="13" state="visible" r:id="rId15"/>
  </sheets>
  <definedNames>
    <definedName function="false" hidden="true" localSheetId="5" name="_xlnm._FilterDatabase" vbProcedure="false">Journal!$A$4:$R$30</definedName>
    <definedName function="false" hidden="true" localSheetId="1" name="_xlnm._FilterDatabase" vbProcedure="false">Screener!$A$1:$AK$13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<sst xmlns="http://schemas.openxmlformats.org/spreadsheetml/2006/main" count="1465" uniqueCount="716">
  <si>
    <t xml:space="preserve">IDX VALUE SCREENER — DASHBOARD</t>
  </si>
  <si>
    <t xml:space="preserve">Every figure below is a live formula against the RAW_* sheets. Rebuild the workbook to refresh the membership of the ranked tables.</t>
  </si>
  <si>
    <t xml:space="preserve">DATA &amp; UNIVERSE</t>
  </si>
  <si>
    <t xml:space="preserve">Last data refresh (Fetched At)</t>
  </si>
  <si>
    <t xml:space="preserve">Tickers in universe</t>
  </si>
  <si>
    <t xml:space="preserve">Names at/above MOS Buy threshold</t>
  </si>
  <si>
    <t xml:space="preserve">Names at/above MOS Watch threshold</t>
  </si>
  <si>
    <t xml:space="preserve">VERDICT SPLIT</t>
  </si>
  <si>
    <t xml:space="preserve">MARKET CONTEXT (universe medians)</t>
  </si>
  <si>
    <t xml:space="preserve">Verdict</t>
  </si>
  <si>
    <t xml:space="preserve">Count</t>
  </si>
  <si>
    <t xml:space="preserve">% of universe</t>
  </si>
  <si>
    <t xml:space="preserve">Measure</t>
  </si>
  <si>
    <t xml:space="preserve">Value</t>
  </si>
  <si>
    <t xml:space="preserve">BUY</t>
  </si>
  <si>
    <t xml:space="preserve">Median PE (TTM)</t>
  </si>
  <si>
    <t xml:space="preserve">DEEP VALUE</t>
  </si>
  <si>
    <t xml:space="preserve">Median PB</t>
  </si>
  <si>
    <t xml:space="preserve">WATCH</t>
  </si>
  <si>
    <t xml:space="preserve">Median EV/EBIT</t>
  </si>
  <si>
    <t xml:space="preserve">SKIP</t>
  </si>
  <si>
    <t xml:space="preserve">Names with F-Score &gt;= 7</t>
  </si>
  <si>
    <t xml:space="preserve">Names with Altman Z &lt; 1.1</t>
  </si>
  <si>
    <t xml:space="preserve">Median MOS (blended)</t>
  </si>
  <si>
    <t xml:space="preserve">TOP IDEAS — highest Composite Score among BUY / DEEP VALUE</t>
  </si>
  <si>
    <t xml:space="preserve">Membership fixed at build time (SORT/FILTER are not portable); all displayed figures are live INDEX/MATCH lookups.</t>
  </si>
  <si>
    <t xml:space="preserve">Rank</t>
  </si>
  <si>
    <t xml:space="preserve">Ticker</t>
  </si>
  <si>
    <t xml:space="preserve">Name</t>
  </si>
  <si>
    <t xml:space="preserve">Sector</t>
  </si>
  <si>
    <t xml:space="preserve">Business Type</t>
  </si>
  <si>
    <t xml:space="preserve">Price</t>
  </si>
  <si>
    <t xml:space="preserve">Blended IV</t>
  </si>
  <si>
    <t xml:space="preserve">MOS</t>
  </si>
  <si>
    <t xml:space="preserve">Composite</t>
  </si>
  <si>
    <t xml:space="preserve">Quality</t>
  </si>
  <si>
    <t xml:space="preserve">Safety</t>
  </si>
  <si>
    <t xml:space="preserve">F-Score</t>
  </si>
  <si>
    <t xml:space="preserve">BMRI</t>
  </si>
  <si>
    <t xml:space="preserve">CHEAPEST ON ACQUIRER'S MULTIPLE — lowest EV/EBIT, positive trailing EBIT only</t>
  </si>
  <si>
    <t xml:space="preserve">EV/EBIT</t>
  </si>
  <si>
    <t xml:space="preserve">Earnings Yield (EBIT/EV)</t>
  </si>
  <si>
    <t xml:space="preserve">ROC (Greenblatt)</t>
  </si>
  <si>
    <t xml:space="preserve">Altman Z</t>
  </si>
  <si>
    <t xml:space="preserve">AALI</t>
  </si>
  <si>
    <t xml:space="preserve">ITMG</t>
  </si>
  <si>
    <t xml:space="preserve">PTBA</t>
  </si>
  <si>
    <t xml:space="preserve">ADRO</t>
  </si>
  <si>
    <t xml:space="preserve">GGRM</t>
  </si>
  <si>
    <t xml:space="preserve">ASII</t>
  </si>
  <si>
    <t xml:space="preserve">TLKM</t>
  </si>
  <si>
    <t xml:space="preserve">UNVR</t>
  </si>
  <si>
    <t xml:space="preserve">GRAHAM NET-NETS — market cap below net current asset value</t>
  </si>
  <si>
    <t xml:space="preserve">NCAV/share</t>
  </si>
  <si>
    <t xml:space="preserve">Price / NCAV</t>
  </si>
  <si>
    <t xml:space="preserve">Market Cap (IDR bn)</t>
  </si>
  <si>
    <t xml:space="preserve">No names currently pass the net-net test in this universe.</t>
  </si>
  <si>
    <t xml:space="preserve">PE (TTM)</t>
  </si>
  <si>
    <t xml:space="preserve">PB</t>
  </si>
  <si>
    <t xml:space="preserve">EV/EBITDA</t>
  </si>
  <si>
    <t xml:space="preserve">Div Yield</t>
  </si>
  <si>
    <t xml:space="preserve">ROE</t>
  </si>
  <si>
    <t xml:space="preserve">ROIC</t>
  </si>
  <si>
    <t xml:space="preserve">FCF Yield</t>
  </si>
  <si>
    <t xml:space="preserve">Current Ratio</t>
  </si>
  <si>
    <t xml:space="preserve">Net Debt/Equity</t>
  </si>
  <si>
    <t xml:space="preserve">Rev CAGR 3Y</t>
  </si>
  <si>
    <t xml:space="preserve">Net-Net Pass</t>
  </si>
  <si>
    <t xml:space="preserve">EPV/share</t>
  </si>
  <si>
    <t xml:space="preserve">IV Bear</t>
  </si>
  <si>
    <t xml:space="preserve">IV Base</t>
  </si>
  <si>
    <t xml:space="preserve">IV Bull</t>
  </si>
  <si>
    <t xml:space="preserve">Upside</t>
  </si>
  <si>
    <t xml:space="preserve">Quarters Stale</t>
  </si>
  <si>
    <t xml:space="preserve">Red Flags</t>
  </si>
  <si>
    <t xml:space="preserve">_row in RAW_key_statistics</t>
  </si>
  <si>
    <t xml:space="preserve">_row in RAW_scores</t>
  </si>
  <si>
    <t xml:space="preserve">_row in RAW_idx_stocks</t>
  </si>
  <si>
    <t xml:space="preserve">_row in RAW_analyses</t>
  </si>
  <si>
    <t xml:space="preserve">ABBA</t>
  </si>
  <si>
    <t xml:space="preserve">BBCA</t>
  </si>
  <si>
    <t xml:space="preserve">BBRI</t>
  </si>
  <si>
    <t xml:space="preserve">COMPANY DRILLDOWN</t>
  </si>
  <si>
    <t xml:space="preserve">helper: row in RAW_key_statistics</t>
  </si>
  <si>
    <t xml:space="preserve">Ticker (INPUT)</t>
  </si>
  <si>
    <t xml:space="preserve">&lt;-- the ONLY input cell on this sheet</t>
  </si>
  <si>
    <t xml:space="preserve">helper: row in RAW_scores</t>
  </si>
  <si>
    <t xml:space="preserve">helper: row in RAW_idx_stocks</t>
  </si>
  <si>
    <t xml:space="preserve">IDENTITY</t>
  </si>
  <si>
    <t xml:space="preserve">helper: row in RAW_analyses</t>
  </si>
  <si>
    <t xml:space="preserve">Statement currency</t>
  </si>
  <si>
    <t xml:space="preserve">Price (IDR)</t>
  </si>
  <si>
    <t xml:space="preserve">Market cap (IDR bn)</t>
  </si>
  <si>
    <t xml:space="preserve">Shares outstanding</t>
  </si>
  <si>
    <t xml:space="preserve">Latest filing date</t>
  </si>
  <si>
    <t xml:space="preserve">Quarters stale</t>
  </si>
  <si>
    <t xml:space="preserve">Beta</t>
  </si>
  <si>
    <t xml:space="preserve">VALUATION — EVERY LENS SIDE BY SIDE</t>
  </si>
  <si>
    <t xml:space="preserve">Lens</t>
  </si>
  <si>
    <t xml:space="preserve">Value per share</t>
  </si>
  <si>
    <t xml:space="preserve">MOS vs price</t>
  </si>
  <si>
    <t xml:space="preserve">DCF — bear</t>
  </si>
  <si>
    <t xml:space="preserve">DCF — base</t>
  </si>
  <si>
    <t xml:space="preserve">DCF — bull</t>
  </si>
  <si>
    <t xml:space="preserve">Earnings Power Value (EPV)</t>
  </si>
  <si>
    <t xml:space="preserve">Comparables (peer multiples)</t>
  </si>
  <si>
    <t xml:space="preserve">Justified P/B</t>
  </si>
  <si>
    <t xml:space="preserve">Graham NCAV</t>
  </si>
  <si>
    <t xml:space="preserve">Blended IV (scoring engine)</t>
  </si>
  <si>
    <t xml:space="preserve">Verdict vs Setup MOS thresholds</t>
  </si>
  <si>
    <t xml:space="preserve">Thresholds live on Setup!B9 / Setup!B10</t>
  </si>
  <si>
    <t xml:space="preserve">Verdict from scoring engine</t>
  </si>
  <si>
    <t xml:space="preserve">QUALITY</t>
  </si>
  <si>
    <t xml:space="preserve">Return on equity (TTM)</t>
  </si>
  <si>
    <t xml:space="preserve">Return on assets (TTM)</t>
  </si>
  <si>
    <t xml:space="preserve">Return on invested capital (TTM)</t>
  </si>
  <si>
    <t xml:space="preserve">Return on capital (Greenblatt)</t>
  </si>
  <si>
    <t xml:space="preserve">Gross profit margin (quarter)</t>
  </si>
  <si>
    <t xml:space="preserve">Operating profit margin (quarter)</t>
  </si>
  <si>
    <t xml:space="preserve">Net profit margin (quarter)</t>
  </si>
  <si>
    <t xml:space="preserve">Gross margin 5Y average</t>
  </si>
  <si>
    <t xml:space="preserve">EBIT margin 5Y average</t>
  </si>
  <si>
    <t xml:space="preserve">ROE 5Y average</t>
  </si>
  <si>
    <t xml:space="preserve">Revenue CAGR 3Y</t>
  </si>
  <si>
    <t xml:space="preserve">Revenue CAGR 5Y</t>
  </si>
  <si>
    <t xml:space="preserve">Cash conversion (OCF / net income)</t>
  </si>
  <si>
    <t xml:space="preserve">SAFETY</t>
  </si>
  <si>
    <t xml:space="preserve">Current ratio</t>
  </si>
  <si>
    <t xml:space="preserve">Working capital (IDR bn)</t>
  </si>
  <si>
    <t xml:space="preserve">Interest coverage (TTM)</t>
  </si>
  <si>
    <t xml:space="preserve">Altman Z-Score (modified)</t>
  </si>
  <si>
    <t xml:space="preserve">Net debt / equity</t>
  </si>
  <si>
    <t xml:space="preserve">Total debt (IDR bn)</t>
  </si>
  <si>
    <t xml:space="preserve">Net debt (IDR bn)</t>
  </si>
  <si>
    <t xml:space="preserve">Net debt / EBITDA</t>
  </si>
  <si>
    <t xml:space="preserve">Cost of equity (CAPM: RF + Beta x ERP)</t>
  </si>
  <si>
    <t xml:space="preserve">Uses Setup!B7 (risk free) and Setup!B8 (ERP); falls back to beta = 1 when beta is unavailable.</t>
  </si>
  <si>
    <t xml:space="preserve">EPV cross-check per share (Setup tax + WACC)</t>
  </si>
  <si>
    <t xml:space="preserve">Normalised 5Y EBIT x (1 - Setup!B4) / Setup!B5 / shares. Compare with the EPV lens above.</t>
  </si>
  <si>
    <t xml:space="preserve">PIOTROSKI F-SCORE — 9 SIGNALS</t>
  </si>
  <si>
    <t xml:space="preserve">Signal</t>
  </si>
  <si>
    <t xml:space="preserve">Raw (1/0)</t>
  </si>
  <si>
    <t xml:space="preserve">Result</t>
  </si>
  <si>
    <t xml:space="preserve">What it tests</t>
  </si>
  <si>
    <t xml:space="preserve">ROA Positive</t>
  </si>
  <si>
    <t xml:space="preserve">Return on assets positive</t>
  </si>
  <si>
    <t xml:space="preserve">CFO Positive</t>
  </si>
  <si>
    <t xml:space="preserve">Operating cash flow positive</t>
  </si>
  <si>
    <t xml:space="preserve">ROA Improving</t>
  </si>
  <si>
    <t xml:space="preserve">ROA improving year on year</t>
  </si>
  <si>
    <t xml:space="preserve">Accruals</t>
  </si>
  <si>
    <t xml:space="preserve">Operating cash flow exceeds net income (quality of earnings)</t>
  </si>
  <si>
    <t xml:space="preserve">Leverage Falling</t>
  </si>
  <si>
    <t xml:space="preserve">Long-term leverage falling</t>
  </si>
  <si>
    <t xml:space="preserve">Current Ratio Improving</t>
  </si>
  <si>
    <t xml:space="preserve">Current ratio improving</t>
  </si>
  <si>
    <t xml:space="preserve">No Dilution</t>
  </si>
  <si>
    <t xml:space="preserve">No share issuance</t>
  </si>
  <si>
    <t xml:space="preserve">Gross Margin Improving</t>
  </si>
  <si>
    <t xml:space="preserve">Gross margin improving</t>
  </si>
  <si>
    <t xml:space="preserve">Asset Turnover Improving</t>
  </si>
  <si>
    <t xml:space="preserve">Asset turnover improving</t>
  </si>
  <si>
    <t xml:space="preserve">F-Score total (0-9)</t>
  </si>
  <si>
    <t xml:space="preserve">Column C re-adds the nine signals as a cross-check on the scraper's own F-Score.</t>
  </si>
  <si>
    <t xml:space="preserve">VERDICT NARRATIVE</t>
  </si>
  <si>
    <t xml:space="preserve">Reasons</t>
  </si>
  <si>
    <t xml:space="preserve">Red flags</t>
  </si>
  <si>
    <t xml:space="preserve">ANNUAL HISTORY — LAST 4 REPORTED YEARS (IDR bn)</t>
  </si>
  <si>
    <t xml:space="preserve">Matched on the RAW_history_annual helper key 'Ticker|Period End'; two-condition lookups need one concatenated key because array formulas are not portable.</t>
  </si>
  <si>
    <t xml:space="preserve">Line item</t>
  </si>
  <si>
    <t xml:space="preserve">Revenue</t>
  </si>
  <si>
    <t xml:space="preserve">Gross Profit</t>
  </si>
  <si>
    <t xml:space="preserve">EBIT</t>
  </si>
  <si>
    <t xml:space="preserve">Net Income</t>
  </si>
  <si>
    <t xml:space="preserve">Operating Cash Flow</t>
  </si>
  <si>
    <t xml:space="preserve">Free Cash Flow</t>
  </si>
  <si>
    <t xml:space="preserve">Total Assets</t>
  </si>
  <si>
    <t xml:space="preserve">Shareholders' Equity</t>
  </si>
  <si>
    <t xml:space="preserve">SCENARIO — LIVE DISCOUNTED CASH FLOW</t>
  </si>
  <si>
    <t xml:space="preserve">Yellow cells are inputs. They pre-fill from the selected ticker but you may type over any of them; nothing downstream is hardcoded.</t>
  </si>
  <si>
    <t xml:space="preserve">INPUTS</t>
  </si>
  <si>
    <t xml:space="preserve">Any ticker present on the Screener sheet.</t>
  </si>
  <si>
    <t xml:space="preserve">Current price (IDR)</t>
  </si>
  <si>
    <t xml:space="preserve">Live from RAW_idx_stocks — not an input.</t>
  </si>
  <si>
    <t xml:space="preserve">Base free cash flow (IDR)</t>
  </si>
  <si>
    <t xml:space="preserve">Trailing-twelve-month FCF. Override with a normalised figure if TTM is distorted.</t>
  </si>
  <si>
    <t xml:space="preserve">Growth — year 1</t>
  </si>
  <si>
    <t xml:space="preserve">Seeded from Revenue CAGR 3Y, clamped to -10%..+15%.</t>
  </si>
  <si>
    <t xml:space="preserve">Growth — year 2</t>
  </si>
  <si>
    <t xml:space="preserve">Linear fade from year 1 toward terminal growth (1/5 of the way).</t>
  </si>
  <si>
    <t xml:space="preserve">Growth — year 3</t>
  </si>
  <si>
    <t xml:space="preserve">Linear fade from year 1 toward terminal growth (2/5 of the way).</t>
  </si>
  <si>
    <t xml:space="preserve">Growth — year 4</t>
  </si>
  <si>
    <t xml:space="preserve">Linear fade from year 1 toward terminal growth (3/5 of the way).</t>
  </si>
  <si>
    <t xml:space="preserve">Growth — year 5</t>
  </si>
  <si>
    <t xml:space="preserve">Linear fade from year 1 toward terminal growth (4/5 of the way).</t>
  </si>
  <si>
    <t xml:space="preserve">Terminal growth</t>
  </si>
  <si>
    <t xml:space="preserve">Defaults to Setup!B6. Must stay below WACC.</t>
  </si>
  <si>
    <t xml:space="preserve">WACC (discount rate)</t>
  </si>
  <si>
    <t xml:space="preserve">Defaults to Setup!B5. Compare with the CAPM cost of equity on Company.</t>
  </si>
  <si>
    <t xml:space="preserve">Net debt (IDR)</t>
  </si>
  <si>
    <t xml:space="preserve">Subtracted from enterprise value. Negative = net cash.</t>
  </si>
  <si>
    <t xml:space="preserve">Diluted share count would be more conservative — override if you have it.</t>
  </si>
  <si>
    <t xml:space="preserve">5-YEAR PROJECTION (every cell a formula off the inputs above)</t>
  </si>
  <si>
    <t xml:space="preserve">Year</t>
  </si>
  <si>
    <t xml:space="preserve">Growth</t>
  </si>
  <si>
    <t xml:space="preserve">Free cash flow (IDR)</t>
  </si>
  <si>
    <t xml:space="preserve">Discount factor</t>
  </si>
  <si>
    <t xml:space="preserve">PV of FCF (IDR)</t>
  </si>
  <si>
    <t xml:space="preserve">Terminal value (Gordon growth)</t>
  </si>
  <si>
    <t xml:space="preserve">#N/A here means WACC &lt;= terminal growth: the perpetuity does not converge.</t>
  </si>
  <si>
    <t xml:space="preserve">OUTPUT</t>
  </si>
  <si>
    <t xml:space="preserve">Enterprise value (IDR)</t>
  </si>
  <si>
    <t xml:space="preserve">Less: net debt (IDR)</t>
  </si>
  <si>
    <t xml:space="preserve">Equity value (IDR)</t>
  </si>
  <si>
    <t xml:space="preserve">Value per share (IDR)</t>
  </si>
  <si>
    <t xml:space="preserve">Margin of safety</t>
  </si>
  <si>
    <t xml:space="preserve">Upside to value</t>
  </si>
  <si>
    <t xml:space="preserve">Thresholds live on Setup!B9 / Setup!B10.</t>
  </si>
  <si>
    <t xml:space="preserve">SENSITIVITY</t>
  </si>
  <si>
    <t xml:space="preserve">Both grids recompute value per share cell by cell from the Scenario inputs. No Excel data tables are used — Google Sheets has no equivalent.</t>
  </si>
  <si>
    <t xml:space="preserve">Cells reading "n/m" are combinations where WACC &lt;= terminal growth, for which the Gordon perpetuity is not meaningful.</t>
  </si>
  <si>
    <t xml:space="preserve">VALUE PER SHARE — WACC (rows) x TERMINAL GROWTH (columns)</t>
  </si>
  <si>
    <t xml:space="preserve">WACC \ g</t>
  </si>
  <si>
    <t xml:space="preserve">VALUE PER SHARE — WACC (rows) x STAGE-1 GROWTH (columns, applied to all five years)</t>
  </si>
  <si>
    <t xml:space="preserve">WACC \ g1-5</t>
  </si>
  <si>
    <t xml:space="preserve">Reference: current price</t>
  </si>
  <si>
    <t xml:space="preserve">Reference: Scenario value per share</t>
  </si>
  <si>
    <t xml:space="preserve">JOURNAL — INVESTMENT LOG</t>
  </si>
  <si>
    <t xml:space="preserve">One row per decision. Write the thesis before you buy, not after.</t>
  </si>
  <si>
    <t xml:space="preserve">LEGEND: every cell from row 6 down is yours to fill in (yellow fill, blue text). Row 5 is a worked example — overwrite or delete it. Percentages are stored as fractions, so type 30% or 0.30, not 30.</t>
  </si>
  <si>
    <t xml:space="preserve">Date Analysed</t>
  </si>
  <si>
    <t xml:space="preserve">Price at Analysis</t>
  </si>
  <si>
    <t xml:space="preserve">MOS at Analysis</t>
  </si>
  <si>
    <t xml:space="preserve">Thesis</t>
  </si>
  <si>
    <t xml:space="preserve">Why It Is Cheap</t>
  </si>
  <si>
    <t xml:space="preserve">Catalyst</t>
  </si>
  <si>
    <t xml:space="preserve">Key Risks</t>
  </si>
  <si>
    <t xml:space="preserve">What Would Invalidate</t>
  </si>
  <si>
    <t xml:space="preserve">Target Price</t>
  </si>
  <si>
    <t xml:space="preserve">Expected Return</t>
  </si>
  <si>
    <t xml:space="preserve">Position Taken?</t>
  </si>
  <si>
    <t xml:space="preserve">Review Date</t>
  </si>
  <si>
    <t xml:space="preserve">Outcome</t>
  </si>
  <si>
    <t xml:space="preserve">Notes</t>
  </si>
  <si>
    <t xml:space="preserve">EXAMPLE — 2026-08-10</t>
  </si>
  <si>
    <t xml:space="preserve">Astra Agro Lestari Tbk.</t>
  </si>
  <si>
    <t xml:space="preserve">Cash-generative franchise trading below the blended intrinsic value of every lens; balance sheet carries net cash, so the downside is earnings normalisation rather than solvency.</t>
  </si>
  <si>
    <t xml:space="preserve">Cyclical earnings peak scares the market; index funds have been sellers since the sector reweighting.</t>
  </si>
  <si>
    <t xml:space="preserve">Full-year results confirming margin stabilisation, plus the declared dividend at the historical payout.</t>
  </si>
  <si>
    <t xml:space="preserve">Commodity price reversal, IDR depreciation on imported input costs, minority-shareholder governance.</t>
  </si>
  <si>
    <t xml:space="preserve">Two consecutive quarters of negative operating cash flow, or net debt/EBITDA above 2.0x.</t>
  </si>
  <si>
    <t xml:space="preserve">No — watching for a 30% MOS</t>
  </si>
  <si>
    <t xml:space="preserve">2026-11-15</t>
  </si>
  <si>
    <t xml:space="preserve">Open</t>
  </si>
  <si>
    <t xml:space="preserve">Sized at 4% if entered. Revisit after Q3 filing.</t>
  </si>
  <si>
    <t xml:space="preserve">SETUP — Model Assumptions</t>
  </si>
  <si>
    <t xml:space="preserve">Every value below is referenced by formulas elsewhere in this workbook. Change one and the model moves.</t>
  </si>
  <si>
    <t xml:space="preserve">Assumption</t>
  </si>
  <si>
    <t xml:space="preserve">Consumed by</t>
  </si>
  <si>
    <t xml:space="preserve">Tax Rate</t>
  </si>
  <si>
    <t xml:space="preserve">Company!EPV cross-check (NOPAT = Normalised EBIT x (1 - Tax Rate))</t>
  </si>
  <si>
    <t xml:space="preserve">Scenario!B13 discount rate; Sensitivity (both grids, via Scenario); Company!EPV cross-check</t>
  </si>
  <si>
    <t xml:space="preserve">Terminal Growth</t>
  </si>
  <si>
    <t xml:space="preserve">Scenario!B12 terminal growth + growth fade; Sensitivity grid axes</t>
  </si>
  <si>
    <t xml:space="preserve">Risk Free Rate</t>
  </si>
  <si>
    <t xml:space="preserve">Company!Cost of equity (CAPM) = RF + Beta x ERP</t>
  </si>
  <si>
    <t xml:space="preserve">Equity Risk Premium</t>
  </si>
  <si>
    <t xml:space="preserve">Company!Cost of equity (CAPM)</t>
  </si>
  <si>
    <t xml:space="preserve">MOS Buy threshold</t>
  </si>
  <si>
    <t xml:space="preserve">Dashboard!count above buy MOS; Company!verdict test; Scenario!verdict test</t>
  </si>
  <si>
    <t xml:space="preserve">MOS Watch threshold</t>
  </si>
  <si>
    <t xml:space="preserve">Dashboard!count above watch MOS; Company!verdict test; Scenario!verdict test</t>
  </si>
  <si>
    <t xml:space="preserve">Yellow cells with blue text are inputs — edit them directly.</t>
  </si>
  <si>
    <t xml:space="preserve">Black text = formula on the same sheet. Green text = link to another sheet in this workbook.</t>
  </si>
  <si>
    <t xml:space="preserve">Formula portability: this workbook uses only functions that behave identically in Microsoft Excel and Google Sheets (INDEX/MATCH rather than XLOOKUP/FILTER/QUERY).</t>
  </si>
  <si>
    <t xml:space="preserve">IPO Date</t>
  </si>
  <si>
    <t xml:space="preserve">Outstanding Shares</t>
  </si>
  <si>
    <t xml:space="preserve">Note</t>
  </si>
  <si>
    <t xml:space="preserve">Volume</t>
  </si>
  <si>
    <t xml:space="preserve">Change</t>
  </si>
  <si>
    <t xml:space="preserve">Percentage Change</t>
  </si>
  <si>
    <t xml:space="preserve">Average</t>
  </si>
  <si>
    <t xml:space="preserve">Close Price</t>
  </si>
  <si>
    <t xml:space="preserve">High Price</t>
  </si>
  <si>
    <t xml:space="preserve">Open Price</t>
  </si>
  <si>
    <t xml:space="preserve">Low Price</t>
  </si>
  <si>
    <t xml:space="preserve">ARA Price</t>
  </si>
  <si>
    <t xml:space="preserve">ARB Price</t>
  </si>
  <si>
    <t xml:space="preserve">Frequency</t>
  </si>
  <si>
    <t xml:space="preserve">Frequency Sell</t>
  </si>
  <si>
    <t xml:space="preserve">Frequency Buy</t>
  </si>
  <si>
    <t xml:space="preserve">52W High</t>
  </si>
  <si>
    <t xml:space="preserve">52W Low</t>
  </si>
  <si>
    <t xml:space="preserve">Pct From 52W High</t>
  </si>
  <si>
    <t xml:space="preserve">1Y Price Change</t>
  </si>
  <si>
    <t xml:space="preserve">Currency</t>
  </si>
  <si>
    <t xml:space="preserve">Fetched At</t>
  </si>
  <si>
    <t xml:space="preserve">09 Des 1997</t>
  </si>
  <si>
    <t xml:space="preserve">UTAMA</t>
  </si>
  <si>
    <t xml:space="preserve">IDR</t>
  </si>
  <si>
    <t xml:space="preserve">2026-08-10T01:52:49</t>
  </si>
  <si>
    <t xml:space="preserve">Mahaka Media Tbk.</t>
  </si>
  <si>
    <t xml:space="preserve">2002-04-03 00:00:00</t>
  </si>
  <si>
    <t xml:space="preserve">PEMANTAUAN KHUSUS</t>
  </si>
  <si>
    <t xml:space="preserve">Alamtri Resources Indonesia Tbk.</t>
  </si>
  <si>
    <t xml:space="preserve">2008-07-16 00:00:00</t>
  </si>
  <si>
    <t xml:space="preserve">Astra International Tbk.</t>
  </si>
  <si>
    <t xml:space="preserve">1990-04-04 00:00:00</t>
  </si>
  <si>
    <t xml:space="preserve">Bank Central Asia Tbk.</t>
  </si>
  <si>
    <t xml:space="preserve">31 Mei 2000</t>
  </si>
  <si>
    <t xml:space="preserve">Bank Rakyat Indonesia (Persero) Tbk.</t>
  </si>
  <si>
    <t xml:space="preserve">2003-11-10 00:00:00</t>
  </si>
  <si>
    <t xml:space="preserve">Bank Mandiri (Persero) Tbk.</t>
  </si>
  <si>
    <t xml:space="preserve">2003-07-14 00:00:00</t>
  </si>
  <si>
    <t xml:space="preserve">Gudang Garam Tbk.</t>
  </si>
  <si>
    <t xml:space="preserve">27 Agt 1990</t>
  </si>
  <si>
    <t xml:space="preserve">Indo Tambangraya Megah Tbk.</t>
  </si>
  <si>
    <t xml:space="preserve">18 Des 2007</t>
  </si>
  <si>
    <t xml:space="preserve">Bukit Asam Tbk.</t>
  </si>
  <si>
    <t xml:space="preserve">23 Des 2002</t>
  </si>
  <si>
    <t xml:space="preserve">Telkom Indonesia (Persero) Tbk.</t>
  </si>
  <si>
    <t xml:space="preserve">1995-11-14 00:00:00</t>
  </si>
  <si>
    <t xml:space="preserve">Unilever Indonesia Tbk.</t>
  </si>
  <si>
    <t xml:space="preserve">1982-01-11 00:00:00</t>
  </si>
  <si>
    <t xml:space="preserve">Current PE Ratio (Annualised)</t>
  </si>
  <si>
    <t xml:space="preserve">Current PE Ratio (TTM)</t>
  </si>
  <si>
    <t xml:space="preserve">Forward PE Ratio</t>
  </si>
  <si>
    <t xml:space="preserve">IHSG PE Ratio TTM (Median)</t>
  </si>
  <si>
    <t xml:space="preserve">Earnings Yield (TTM)</t>
  </si>
  <si>
    <t xml:space="preserve">Current Price to Sales(TTM)</t>
  </si>
  <si>
    <t xml:space="preserve">Current Price to Book Value</t>
  </si>
  <si>
    <t xml:space="preserve">Current Price To Cashflow (TTM)</t>
  </si>
  <si>
    <t xml:space="preserve">Current Price To Free Cashflow (TTM)</t>
  </si>
  <si>
    <t xml:space="preserve">EV to EBIT (TTM)</t>
  </si>
  <si>
    <t xml:space="preserve">EV to EBITDA (TTM)</t>
  </si>
  <si>
    <t xml:space="preserve">PEG Ratio</t>
  </si>
  <si>
    <t xml:space="preserve">PEG Ratio (3yr)</t>
  </si>
  <si>
    <t xml:space="preserve">PEG (Forward)</t>
  </si>
  <si>
    <t xml:space="preserve">Current EPS (TTM)</t>
  </si>
  <si>
    <t xml:space="preserve">Current EPS (Annualised)</t>
  </si>
  <si>
    <t xml:space="preserve">Revenue Per Share (TTM)</t>
  </si>
  <si>
    <t xml:space="preserve">Cash Per Share (Quarter)</t>
  </si>
  <si>
    <t xml:space="preserve">Current Book Value Per Share</t>
  </si>
  <si>
    <t xml:space="preserve">Free Cashflow Per Share (TTM)</t>
  </si>
  <si>
    <t xml:space="preserve">Current Ratio (Quarter)</t>
  </si>
  <si>
    <t xml:space="preserve">Quick Ratio (Quarter)</t>
  </si>
  <si>
    <t xml:space="preserve">Debt to Equity Ratio (Quarter)</t>
  </si>
  <si>
    <t xml:space="preserve">LT Debt/Equity (Quarter)</t>
  </si>
  <si>
    <t xml:space="preserve">Total Liabilities/Equity (Quarter)</t>
  </si>
  <si>
    <t xml:space="preserve">Total Debt/Total Assets (Quarter)</t>
  </si>
  <si>
    <t xml:space="preserve">Financial Leverage (Quarter)</t>
  </si>
  <si>
    <t xml:space="preserve">Interest Coverage (TTM)</t>
  </si>
  <si>
    <t xml:space="preserve">Free cash flow (Quarter)</t>
  </si>
  <si>
    <t xml:space="preserve">Altman Z-Score (Modified)</t>
  </si>
  <si>
    <t xml:space="preserve">Return on Assets (TTM)</t>
  </si>
  <si>
    <t xml:space="preserve">Return on Equity (TTM)</t>
  </si>
  <si>
    <t xml:space="preserve">Return on Capital Employed (TTM)</t>
  </si>
  <si>
    <t xml:space="preserve">Return On Invested Capital (TTM)</t>
  </si>
  <si>
    <t xml:space="preserve">Days Sales Outstanding (Quarter)</t>
  </si>
  <si>
    <t xml:space="preserve">Days Inventory (Quarter)</t>
  </si>
  <si>
    <t xml:space="preserve">Days Payables Outstanding (Quarter)</t>
  </si>
  <si>
    <t xml:space="preserve">Cash Conversion Cycle (Quarter)</t>
  </si>
  <si>
    <t xml:space="preserve">Receivables Turnover (Quarter)</t>
  </si>
  <si>
    <t xml:space="preserve">Asset Turnover (TTM)</t>
  </si>
  <si>
    <t xml:space="preserve">Inventory Turnover (TTM)</t>
  </si>
  <si>
    <t xml:space="preserve">Gross Profit Margin (Quarter)</t>
  </si>
  <si>
    <t xml:space="preserve">Operating Profit Margin (Quarter)</t>
  </si>
  <si>
    <t xml:space="preserve">Net Profit Margin (Quarter)</t>
  </si>
  <si>
    <t xml:space="preserve">Revenue (Quarter YoY Growth)</t>
  </si>
  <si>
    <t xml:space="preserve">Gross Profit (Quarter YoY Growth)</t>
  </si>
  <si>
    <t xml:space="preserve">Net Income (Quarter YoY Growth)</t>
  </si>
  <si>
    <t xml:space="preserve">Dividend</t>
  </si>
  <si>
    <t xml:space="preserve">Dividend (TTM)</t>
  </si>
  <si>
    <t xml:space="preserve">Payout Ratio</t>
  </si>
  <si>
    <t xml:space="preserve">Dividend Yield</t>
  </si>
  <si>
    <t xml:space="preserve">Latest Dividend Ex-Date</t>
  </si>
  <si>
    <t xml:space="preserve">Piotroski F-Score</t>
  </si>
  <si>
    <t xml:space="preserve">EPS Rating</t>
  </si>
  <si>
    <t xml:space="preserve">Relative Strength Rating</t>
  </si>
  <si>
    <t xml:space="preserve">Rank (Market Cap)</t>
  </si>
  <si>
    <t xml:space="preserve">Rank (Current PE Ratio TTM)</t>
  </si>
  <si>
    <t xml:space="preserve">Rank (Earnings Yield)</t>
  </si>
  <si>
    <t xml:space="preserve">Rank (P/S)</t>
  </si>
  <si>
    <t xml:space="preserve">Rank (P/B)</t>
  </si>
  <si>
    <t xml:space="preserve">Rank (Near 52 Weeks High)</t>
  </si>
  <si>
    <t xml:space="preserve">Revenue (TTM)</t>
  </si>
  <si>
    <t xml:space="preserve">Gross Profit (TTM)</t>
  </si>
  <si>
    <t xml:space="preserve">EBITDA (TTM)</t>
  </si>
  <si>
    <t xml:space="preserve">Net Income (TTM)</t>
  </si>
  <si>
    <t xml:space="preserve">Cash (Quarter)</t>
  </si>
  <si>
    <t xml:space="preserve">Total Assets (Quarter)</t>
  </si>
  <si>
    <t xml:space="preserve">Total Liabilities (Quarter)</t>
  </si>
  <si>
    <t xml:space="preserve">Working Capital (Quarter)</t>
  </si>
  <si>
    <t xml:space="preserve">Market Cap</t>
  </si>
  <si>
    <t xml:space="preserve">Enterprise Value</t>
  </si>
  <si>
    <t xml:space="preserve">Current Share Outstanding</t>
  </si>
  <si>
    <t xml:space="preserve">Total Equity</t>
  </si>
  <si>
    <t xml:space="preserve">Total Debt (Quarter)</t>
  </si>
  <si>
    <t xml:space="preserve">Net Debt (Quarter)</t>
  </si>
  <si>
    <t xml:space="preserve">Current Assets (Quarter)</t>
  </si>
  <si>
    <t xml:space="preserve">Current Liabilities (Quarter)</t>
  </si>
  <si>
    <t xml:space="preserve">EBIT (TTM)</t>
  </si>
  <si>
    <t xml:space="preserve">Operating Cash Flow (TTM)</t>
  </si>
  <si>
    <t xml:space="preserve">Capital expenditure (TTM)</t>
  </si>
  <si>
    <t xml:space="preserve">Free cash flow (TTM)</t>
  </si>
  <si>
    <t xml:space="preserve">Inventory (Quarter)</t>
  </si>
  <si>
    <t xml:space="preserve">Retained Earnings (Quarter)</t>
  </si>
  <si>
    <t xml:space="preserve">Earnings Yield Greenblatt (EBIT/EV)</t>
  </si>
  <si>
    <t xml:space="preserve">ROC Greenblatt</t>
  </si>
  <si>
    <t xml:space="preserve">Acquirers Multiple (EV/EBIT)</t>
  </si>
  <si>
    <t xml:space="preserve">FCF Yield (TTM)</t>
  </si>
  <si>
    <t xml:space="preserve">NCAV</t>
  </si>
  <si>
    <t xml:space="preserve">NCAV per Share</t>
  </si>
  <si>
    <t xml:space="preserve">Normalised EBIT (5Y)</t>
  </si>
  <si>
    <t xml:space="preserve">Normalised EBIT Margin</t>
  </si>
  <si>
    <t xml:space="preserve">Normalised/Trailing EBIT</t>
  </si>
  <si>
    <t xml:space="preserve">EPV per Share</t>
  </si>
  <si>
    <t xml:space="preserve">EPS CAGR 3Y</t>
  </si>
  <si>
    <t xml:space="preserve">Net Income CAGR 3Y</t>
  </si>
  <si>
    <t xml:space="preserve">Gross Margin 5Y Avg</t>
  </si>
  <si>
    <t xml:space="preserve">EBIT Margin 5Y Avg</t>
  </si>
  <si>
    <t xml:space="preserve">ROE 5Y Avg</t>
  </si>
  <si>
    <t xml:space="preserve">Revenue Volatility 5Y</t>
  </si>
  <si>
    <t xml:space="preserve">Quarters of History</t>
  </si>
  <si>
    <t xml:space="preserve">Years of Annual History</t>
  </si>
  <si>
    <t xml:space="preserve">F: ROA Positive</t>
  </si>
  <si>
    <t xml:space="preserve">F: CFO Positive</t>
  </si>
  <si>
    <t xml:space="preserve">F: ROA Improving</t>
  </si>
  <si>
    <t xml:space="preserve">F: Accruals</t>
  </si>
  <si>
    <t xml:space="preserve">F: Leverage Falling</t>
  </si>
  <si>
    <t xml:space="preserve">F: Current Ratio Improving</t>
  </si>
  <si>
    <t xml:space="preserve">F: No Dilution</t>
  </si>
  <si>
    <t xml:space="preserve">F: Gross Margin Improving</t>
  </si>
  <si>
    <t xml:space="preserve">F: Asset Turnover Improving</t>
  </si>
  <si>
    <t xml:space="preserve">F-Score Basis</t>
  </si>
  <si>
    <t xml:space="preserve">Price CAGR 3Y</t>
  </si>
  <si>
    <t xml:space="preserve">Price CAGR 5Y</t>
  </si>
  <si>
    <t xml:space="preserve">Price Percentile 10Y</t>
  </si>
  <si>
    <t xml:space="preserve">Max Drawdown 10Y</t>
  </si>
  <si>
    <t xml:space="preserve">Months of Price History</t>
  </si>
  <si>
    <t xml:space="preserve">Latest Filing Date</t>
  </si>
  <si>
    <t xml:space="preserve">Statement Currency</t>
  </si>
  <si>
    <t xml:space="preserve">FX Rate Applied</t>
  </si>
  <si>
    <t xml:space="preserve">Data Source</t>
  </si>
  <si>
    <t xml:space="preserve">2026-04-24</t>
  </si>
  <si>
    <t xml:space="preserve">FALSE</t>
  </si>
  <si>
    <t xml:space="preserve">annual</t>
  </si>
  <si>
    <t xml:space="preserve">2026-06-30</t>
  </si>
  <si>
    <t xml:space="preserve">Yahoo Finance</t>
  </si>
  <si>
    <t xml:space="preserve">2026-03-31</t>
  </si>
  <si>
    <t xml:space="preserve">2026-04-28</t>
  </si>
  <si>
    <t xml:space="preserve">USD</t>
  </si>
  <si>
    <t xml:space="preserve">2026-05-05</t>
  </si>
  <si>
    <t xml:space="preserve">2026-06-17</t>
  </si>
  <si>
    <t xml:space="preserve">2026-04-21</t>
  </si>
  <si>
    <t xml:space="preserve">2026-05-11</t>
  </si>
  <si>
    <t xml:space="preserve">2026-07-02</t>
  </si>
  <si>
    <t xml:space="preserve">2026-06-23</t>
  </si>
  <si>
    <t xml:space="preserve">2026-06-18</t>
  </si>
  <si>
    <t xml:space="preserve">2026-06-15</t>
  </si>
  <si>
    <t xml:space="preserve">PBV x ROE</t>
  </si>
  <si>
    <t xml:space="preserve">Price to Equity Discount (%)</t>
  </si>
  <si>
    <t xml:space="preserve">Relative PE ratio (TTM)</t>
  </si>
  <si>
    <t xml:space="preserve">EPS Growth</t>
  </si>
  <si>
    <t xml:space="preserve">Debt to Total Assets Ratio</t>
  </si>
  <si>
    <t xml:space="preserve">Liquidity Differential</t>
  </si>
  <si>
    <t xml:space="preserve">CCE</t>
  </si>
  <si>
    <t xml:space="preserve">Operating Efficiency</t>
  </si>
  <si>
    <t xml:space="preserve">Dividend Payout Efficiency</t>
  </si>
  <si>
    <t xml:space="preserve">Yearly Price Change</t>
  </si>
  <si>
    <t xml:space="preserve">Composite Rank</t>
  </si>
  <si>
    <t xml:space="preserve">Net Debt to Equity</t>
  </si>
  <si>
    <t xml:space="preserve">Quality Score</t>
  </si>
  <si>
    <t xml:space="preserve">Safety Score</t>
  </si>
  <si>
    <t xml:space="preserve">Value Score</t>
  </si>
  <si>
    <t xml:space="preserve">Composite Score</t>
  </si>
  <si>
    <t xml:space="preserve">Acquirers Multiple</t>
  </si>
  <si>
    <t xml:space="preserve">MOS Bear</t>
  </si>
  <si>
    <t xml:space="preserve">MOS Base</t>
  </si>
  <si>
    <t xml:space="preserve">MOS Bull</t>
  </si>
  <si>
    <t xml:space="preserve">MOS Blended</t>
  </si>
  <si>
    <t xml:space="preserve">Upside Blended</t>
  </si>
  <si>
    <t xml:space="preserve">Comparables IV</t>
  </si>
  <si>
    <t xml:space="preserve">Justified PB IV</t>
  </si>
  <si>
    <t xml:space="preserve">Latest Filing</t>
  </si>
  <si>
    <t xml:space="preserve">Peer Group</t>
  </si>
  <si>
    <t xml:space="preserve">Peer Count</t>
  </si>
  <si>
    <t xml:space="preserve">Peer PE Median</t>
  </si>
  <si>
    <t xml:space="preserve">Peer EV/EBIT Median</t>
  </si>
  <si>
    <t xml:space="preserve">Peer PB Median</t>
  </si>
  <si>
    <t xml:space="preserve">Consumer Non-Cyclicals</t>
  </si>
  <si>
    <t xml:space="preserve">Ordinary</t>
  </si>
  <si>
    <t xml:space="preserve">MOS 29% attractive but short of buy threshold 30%</t>
  </si>
  <si>
    <t xml:space="preserve">Consumer Cyclicals</t>
  </si>
  <si>
    <t xml:space="preserve">No usable intrinsic value - cannot assess margin of safety</t>
  </si>
  <si>
    <t xml:space="preserve">Interest coverage -6.5x</t>
  </si>
  <si>
    <t xml:space="preserve">Energy</t>
  </si>
  <si>
    <t xml:space="preserve">Cyclical</t>
  </si>
  <si>
    <t xml:space="preserve">Industrials</t>
  </si>
  <si>
    <t xml:space="preserve">MOS 20% attractive but short of buy threshold 30%</t>
  </si>
  <si>
    <t xml:space="preserve">Financials</t>
  </si>
  <si>
    <t xml:space="preserve">Financial</t>
  </si>
  <si>
    <t xml:space="preserve">MOS -22% below watch threshold 10%</t>
  </si>
  <si>
    <t xml:space="preserve">MOS 16% attractive but short of buy threshold 30%</t>
  </si>
  <si>
    <t xml:space="preserve">MOS 40%, quality and balance sheet both pass</t>
  </si>
  <si>
    <t xml:space="preserve">MOS -60% below watch threshold 10%</t>
  </si>
  <si>
    <t xml:space="preserve">Cheap but F-Score 3/9 shows deteriorating fundamentals</t>
  </si>
  <si>
    <t xml:space="preserve">Cheap but F-Score 2/9 shows deteriorating fundamentals</t>
  </si>
  <si>
    <t xml:space="preserve">Infrastructures</t>
  </si>
  <si>
    <t xml:space="preserve">MOS 7% below watch threshold 10%</t>
  </si>
  <si>
    <t xml:space="preserve">MOS -100% below watch threshold 10%</t>
  </si>
  <si>
    <t xml:space="preserve">Period Type</t>
  </si>
  <si>
    <t xml:space="preserve">Period End</t>
  </si>
  <si>
    <t xml:space="preserve">TotalRevenue</t>
  </si>
  <si>
    <t xml:space="preserve">CostOfRevenue</t>
  </si>
  <si>
    <t xml:space="preserve">GrossProfit</t>
  </si>
  <si>
    <t xml:space="preserve">OperatingIncome</t>
  </si>
  <si>
    <t xml:space="preserve">EBITDA</t>
  </si>
  <si>
    <t xml:space="preserve">NetIncome</t>
  </si>
  <si>
    <t xml:space="preserve">PretaxIncome</t>
  </si>
  <si>
    <t xml:space="preserve">TaxProvision</t>
  </si>
  <si>
    <t xml:space="preserve">InterestExpense</t>
  </si>
  <si>
    <t xml:space="preserve">DilutedAverageShares</t>
  </si>
  <si>
    <t xml:space="preserve">TotalAssets</t>
  </si>
  <si>
    <t xml:space="preserve">TotalLiabilitiesNetMinorityInterest</t>
  </si>
  <si>
    <t xml:space="preserve">StockholdersEquity</t>
  </si>
  <si>
    <t xml:space="preserve">CashAndCashEquivalents</t>
  </si>
  <si>
    <t xml:space="preserve">TotalDebt</t>
  </si>
  <si>
    <t xml:space="preserve">LongTermDebt</t>
  </si>
  <si>
    <t xml:space="preserve">CurrentAssets</t>
  </si>
  <si>
    <t xml:space="preserve">CurrentLiabilities</t>
  </si>
  <si>
    <t xml:space="preserve">WorkingCapital</t>
  </si>
  <si>
    <t xml:space="preserve">Inventory</t>
  </si>
  <si>
    <t xml:space="preserve">AccountsReceivable</t>
  </si>
  <si>
    <t xml:space="preserve">AccountsPayable</t>
  </si>
  <si>
    <t xml:space="preserve">RetainedEarnings</t>
  </si>
  <si>
    <t xml:space="preserve">InvestedCapital</t>
  </si>
  <si>
    <t xml:space="preserve">OperatingCashFlow</t>
  </si>
  <si>
    <t xml:space="preserve">CapitalExpenditure</t>
  </si>
  <si>
    <t xml:space="preserve">FreeCashFlow</t>
  </si>
  <si>
    <t xml:space="preserve">Key (Ticker|Period End)</t>
  </si>
  <si>
    <t xml:space="preserve">Recency Key (Ticker|Rn)</t>
  </si>
  <si>
    <t xml:space="preserve">quarterly</t>
  </si>
  <si>
    <t xml:space="preserve">2025-03-31</t>
  </si>
  <si>
    <t xml:space="preserve">AALI|2025-03-31</t>
  </si>
  <si>
    <t xml:space="preserve">AALI|R6</t>
  </si>
  <si>
    <t xml:space="preserve">2025-06-30</t>
  </si>
  <si>
    <t xml:space="preserve">AALI|2025-06-30</t>
  </si>
  <si>
    <t xml:space="preserve">AALI|R5</t>
  </si>
  <si>
    <t xml:space="preserve">2025-09-30</t>
  </si>
  <si>
    <t xml:space="preserve">AALI|2025-09-30</t>
  </si>
  <si>
    <t xml:space="preserve">AALI|R4</t>
  </si>
  <si>
    <t xml:space="preserve">2025-12-31</t>
  </si>
  <si>
    <t xml:space="preserve">AALI|2025-12-31</t>
  </si>
  <si>
    <t xml:space="preserve">AALI|R3</t>
  </si>
  <si>
    <t xml:space="preserve">AALI|2026-03-31</t>
  </si>
  <si>
    <t xml:space="preserve">AALI|R2</t>
  </si>
  <si>
    <t xml:space="preserve">AALI|2026-06-30</t>
  </si>
  <si>
    <t xml:space="preserve">AALI|R1</t>
  </si>
  <si>
    <t xml:space="preserve">2024-12-31</t>
  </si>
  <si>
    <t xml:space="preserve">ABBA|2024-12-31</t>
  </si>
  <si>
    <t xml:space="preserve">ABBA|R6</t>
  </si>
  <si>
    <t xml:space="preserve">ABBA|2025-03-31</t>
  </si>
  <si>
    <t xml:space="preserve">ABBA|R5</t>
  </si>
  <si>
    <t xml:space="preserve">ABBA|2025-06-30</t>
  </si>
  <si>
    <t xml:space="preserve">ABBA|R4</t>
  </si>
  <si>
    <t xml:space="preserve">ABBA|2025-09-30</t>
  </si>
  <si>
    <t xml:space="preserve">ABBA|R3</t>
  </si>
  <si>
    <t xml:space="preserve">ABBA|2025-12-31</t>
  </si>
  <si>
    <t xml:space="preserve">ABBA|R2</t>
  </si>
  <si>
    <t xml:space="preserve">ABBA|2026-03-31</t>
  </si>
  <si>
    <t xml:space="preserve">ABBA|R1</t>
  </si>
  <si>
    <t xml:space="preserve">ADRO|2024-12-31</t>
  </si>
  <si>
    <t xml:space="preserve">ADRO|R6</t>
  </si>
  <si>
    <t xml:space="preserve">ADRO|2025-03-31</t>
  </si>
  <si>
    <t xml:space="preserve">ADRO|R5</t>
  </si>
  <si>
    <t xml:space="preserve">ADRO|2025-06-30</t>
  </si>
  <si>
    <t xml:space="preserve">ADRO|R4</t>
  </si>
  <si>
    <t xml:space="preserve">ADRO|2025-09-30</t>
  </si>
  <si>
    <t xml:space="preserve">ADRO|R3</t>
  </si>
  <si>
    <t xml:space="preserve">ADRO|2025-12-31</t>
  </si>
  <si>
    <t xml:space="preserve">ADRO|R2</t>
  </si>
  <si>
    <t xml:space="preserve">ADRO|2026-03-31</t>
  </si>
  <si>
    <t xml:space="preserve">ADRO|R1</t>
  </si>
  <si>
    <t xml:space="preserve">ASII|2025-03-31</t>
  </si>
  <si>
    <t xml:space="preserve">ASII|R5</t>
  </si>
  <si>
    <t xml:space="preserve">ASII|2025-06-30</t>
  </si>
  <si>
    <t xml:space="preserve">ASII|R4</t>
  </si>
  <si>
    <t xml:space="preserve">ASII|2025-12-31</t>
  </si>
  <si>
    <t xml:space="preserve">ASII|R3</t>
  </si>
  <si>
    <t xml:space="preserve">ASII|2026-03-31</t>
  </si>
  <si>
    <t xml:space="preserve">ASII|R2</t>
  </si>
  <si>
    <t xml:space="preserve">ASII|2026-06-30</t>
  </si>
  <si>
    <t xml:space="preserve">ASII|R1</t>
  </si>
  <si>
    <t xml:space="preserve">BBCA|2025-03-31</t>
  </si>
  <si>
    <t xml:space="preserve">BBCA|R5</t>
  </si>
  <si>
    <t xml:space="preserve">BBCA|2025-06-30</t>
  </si>
  <si>
    <t xml:space="preserve">BBCA|R4</t>
  </si>
  <si>
    <t xml:space="preserve">BBCA|2025-12-31</t>
  </si>
  <si>
    <t xml:space="preserve">BBCA|R3</t>
  </si>
  <si>
    <t xml:space="preserve">BBCA|2026-03-31</t>
  </si>
  <si>
    <t xml:space="preserve">BBCA|R2</t>
  </si>
  <si>
    <t xml:space="preserve">BBCA|2026-06-30</t>
  </si>
  <si>
    <t xml:space="preserve">BBCA|R1</t>
  </si>
  <si>
    <t xml:space="preserve">BBRI|2024-12-31</t>
  </si>
  <si>
    <t xml:space="preserve">BBRI|R5</t>
  </si>
  <si>
    <t xml:space="preserve">BBRI|2025-03-31</t>
  </si>
  <si>
    <t xml:space="preserve">BBRI|R4</t>
  </si>
  <si>
    <t xml:space="preserve">BBRI|2025-06-30</t>
  </si>
  <si>
    <t xml:space="preserve">BBRI|R3</t>
  </si>
  <si>
    <t xml:space="preserve">BBRI|2025-12-31</t>
  </si>
  <si>
    <t xml:space="preserve">BBRI|R2</t>
  </si>
  <si>
    <t xml:space="preserve">BBRI|2026-03-31</t>
  </si>
  <si>
    <t xml:space="preserve">BBRI|R1</t>
  </si>
  <si>
    <t xml:space="preserve">BMRI|2025-03-31</t>
  </si>
  <si>
    <t xml:space="preserve">BMRI|R6</t>
  </si>
  <si>
    <t xml:space="preserve">BMRI|2025-06-30</t>
  </si>
  <si>
    <t xml:space="preserve">BMRI|R5</t>
  </si>
  <si>
    <t xml:space="preserve">BMRI|2025-09-30</t>
  </si>
  <si>
    <t xml:space="preserve">BMRI|R4</t>
  </si>
  <si>
    <t xml:space="preserve">BMRI|2025-12-31</t>
  </si>
  <si>
    <t xml:space="preserve">BMRI|R3</t>
  </si>
  <si>
    <t xml:space="preserve">BMRI|2026-03-31</t>
  </si>
  <si>
    <t xml:space="preserve">BMRI|R2</t>
  </si>
  <si>
    <t xml:space="preserve">BMRI|2026-06-30</t>
  </si>
  <si>
    <t xml:space="preserve">BMRI|R1</t>
  </si>
  <si>
    <t xml:space="preserve">GGRM|2025-03-31</t>
  </si>
  <si>
    <t xml:space="preserve">GGRM|R5</t>
  </si>
  <si>
    <t xml:space="preserve">GGRM|2025-06-30</t>
  </si>
  <si>
    <t xml:space="preserve">GGRM|R4</t>
  </si>
  <si>
    <t xml:space="preserve">GGRM|2025-12-31</t>
  </si>
  <si>
    <t xml:space="preserve">GGRM|R3</t>
  </si>
  <si>
    <t xml:space="preserve">GGRM|2026-03-31</t>
  </si>
  <si>
    <t xml:space="preserve">GGRM|R2</t>
  </si>
  <si>
    <t xml:space="preserve">GGRM|2026-06-30</t>
  </si>
  <si>
    <t xml:space="preserve">GGRM|R1</t>
  </si>
  <si>
    <t xml:space="preserve">ITMG|2025-03-31</t>
  </si>
  <si>
    <t xml:space="preserve">ITMG|R5</t>
  </si>
  <si>
    <t xml:space="preserve">ITMG|2025-06-30</t>
  </si>
  <si>
    <t xml:space="preserve">ITMG|R4</t>
  </si>
  <si>
    <t xml:space="preserve">ITMG|2025-09-30</t>
  </si>
  <si>
    <t xml:space="preserve">ITMG|R3</t>
  </si>
  <si>
    <t xml:space="preserve">ITMG|2025-12-31</t>
  </si>
  <si>
    <t xml:space="preserve">ITMG|R2</t>
  </si>
  <si>
    <t xml:space="preserve">ITMG|2026-03-31</t>
  </si>
  <si>
    <t xml:space="preserve">ITMG|R1</t>
  </si>
  <si>
    <t xml:space="preserve">PTBA|2024-12-31</t>
  </si>
  <si>
    <t xml:space="preserve">PTBA|R5</t>
  </si>
  <si>
    <t xml:space="preserve">PTBA|2025-03-31</t>
  </si>
  <si>
    <t xml:space="preserve">PTBA|R4</t>
  </si>
  <si>
    <t xml:space="preserve">PTBA|2025-06-30</t>
  </si>
  <si>
    <t xml:space="preserve">PTBA|R3</t>
  </si>
  <si>
    <t xml:space="preserve">PTBA|2025-12-31</t>
  </si>
  <si>
    <t xml:space="preserve">PTBA|R2</t>
  </si>
  <si>
    <t xml:space="preserve">PTBA|2026-03-31</t>
  </si>
  <si>
    <t xml:space="preserve">PTBA|R1</t>
  </si>
  <si>
    <t xml:space="preserve">TLKM|2025-03-31</t>
  </si>
  <si>
    <t xml:space="preserve">TLKM|R6</t>
  </si>
  <si>
    <t xml:space="preserve">TLKM|2025-06-30</t>
  </si>
  <si>
    <t xml:space="preserve">TLKM|R5</t>
  </si>
  <si>
    <t xml:space="preserve">TLKM|2025-09-30</t>
  </si>
  <si>
    <t xml:space="preserve">TLKM|R4</t>
  </si>
  <si>
    <t xml:space="preserve">TLKM|2025-12-31</t>
  </si>
  <si>
    <t xml:space="preserve">TLKM|R3</t>
  </si>
  <si>
    <t xml:space="preserve">TLKM|2026-03-31</t>
  </si>
  <si>
    <t xml:space="preserve">TLKM|R2</t>
  </si>
  <si>
    <t xml:space="preserve">TLKM|2026-06-30</t>
  </si>
  <si>
    <t xml:space="preserve">TLKM|R1</t>
  </si>
  <si>
    <t xml:space="preserve">UNVR|2025-03-31</t>
  </si>
  <si>
    <t xml:space="preserve">UNVR|R5</t>
  </si>
  <si>
    <t xml:space="preserve">UNVR|2025-06-30</t>
  </si>
  <si>
    <t xml:space="preserve">UNVR|R4</t>
  </si>
  <si>
    <t xml:space="preserve">UNVR|2025-12-31</t>
  </si>
  <si>
    <t xml:space="preserve">UNVR|R3</t>
  </si>
  <si>
    <t xml:space="preserve">UNVR|2026-03-31</t>
  </si>
  <si>
    <t xml:space="preserve">UNVR|R2</t>
  </si>
  <si>
    <t xml:space="preserve">UNVR|2026-06-30</t>
  </si>
  <si>
    <t xml:space="preserve">UNVR|R1</t>
  </si>
  <si>
    <t xml:space="preserve">2022-12-31</t>
  </si>
  <si>
    <t xml:space="preserve">AALI|2022-12-31</t>
  </si>
  <si>
    <t xml:space="preserve">2023-12-31</t>
  </si>
  <si>
    <t xml:space="preserve">AALI|2023-12-31</t>
  </si>
  <si>
    <t xml:space="preserve">AALI|2024-12-31</t>
  </si>
  <si>
    <t xml:space="preserve">ABBA|2022-12-31</t>
  </si>
  <si>
    <t xml:space="preserve">ABBA|2023-12-31</t>
  </si>
  <si>
    <t xml:space="preserve">ADRO|2022-12-31</t>
  </si>
  <si>
    <t xml:space="preserve">ADRO|2023-12-31</t>
  </si>
  <si>
    <t xml:space="preserve">ASII|2022-12-31</t>
  </si>
  <si>
    <t xml:space="preserve">ASII|2023-12-31</t>
  </si>
  <si>
    <t xml:space="preserve">ASII|2024-12-31</t>
  </si>
  <si>
    <t xml:space="preserve">BBCA|2022-12-31</t>
  </si>
  <si>
    <t xml:space="preserve">BBCA|2023-12-31</t>
  </si>
  <si>
    <t xml:space="preserve">BBCA|2024-12-31</t>
  </si>
  <si>
    <t xml:space="preserve">BBRI|2022-12-31</t>
  </si>
  <si>
    <t xml:space="preserve">BBRI|2023-12-31</t>
  </si>
  <si>
    <t xml:space="preserve">BMRI|2022-12-31</t>
  </si>
  <si>
    <t xml:space="preserve">BMRI|2023-12-31</t>
  </si>
  <si>
    <t xml:space="preserve">BMRI|2024-12-31</t>
  </si>
  <si>
    <t xml:space="preserve">2021-12-31</t>
  </si>
  <si>
    <t xml:space="preserve">GGRM|2021-12-31</t>
  </si>
  <si>
    <t xml:space="preserve">GGRM|2022-12-31</t>
  </si>
  <si>
    <t xml:space="preserve">GGRM|2023-12-31</t>
  </si>
  <si>
    <t xml:space="preserve">GGRM|2024-12-31</t>
  </si>
  <si>
    <t xml:space="preserve">ITMG|2022-12-31</t>
  </si>
  <si>
    <t xml:space="preserve">ITMG|2023-12-31</t>
  </si>
  <si>
    <t xml:space="preserve">ITMG|2024-12-31</t>
  </si>
  <si>
    <t xml:space="preserve">PTBA|2021-12-31</t>
  </si>
  <si>
    <t xml:space="preserve">PTBA|2022-12-31</t>
  </si>
  <si>
    <t xml:space="preserve">PTBA|2023-12-31</t>
  </si>
  <si>
    <t xml:space="preserve">TLKM|2022-12-31</t>
  </si>
  <si>
    <t xml:space="preserve">TLKM|2023-12-31</t>
  </si>
  <si>
    <t xml:space="preserve">TLKM|2024-12-31</t>
  </si>
  <si>
    <t xml:space="preserve">UNVR|2022-12-31</t>
  </si>
  <si>
    <t xml:space="preserve">UNVR|2023-12-31</t>
  </si>
  <si>
    <t xml:space="preserve">UNVR|2024-12-31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</si>
</sst>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"/>
    <numFmt numFmtId="167" formatCode="0.0%"/>
    <numFmt numFmtId="168" formatCode="0.0\x"/>
    <numFmt numFmtId="169" formatCode="#,##0.00;\(#,##0.00\);\-"/>
    <numFmt numFmtId="170" formatCode="0.0"/>
    <numFmt numFmtId="171" formatCode="#,##0;\(#,##0\);\-"/>
    <numFmt numFmtId="172" formatCode="General"/>
    <numFmt numFmtId="173" formatCode="0.0000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>
          <bgColor rgb="FFC6EFCE"/>
        </patternFill>
      </fill>
    </dxf>
    <dxf>
      <fill>
        <patternFill>
          <bgColor rgb="FFBDD7EE"/>
        </patternFill>
      </fill>
    </dxf>
    <dxf>
      <fill>
        <patternFill>
          <bgColor rgb="FFFFEB9C"/>
        </patternFill>
      </fill>
    </dxf>
    <dxf>
      <fill>
        <patternFill>
          <bgColor rgb="FFE7E6E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1D07F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5D680"/>
          <bgColor rgb="FF000000"/>
        </patternFill>
      </fill>
    </dxf>
    <dxf>
      <fill>
        <patternFill patternType="solid">
          <fgColor rgb="FFCCDD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EDE683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ont>
        <name val="Arial"/>
        <charset val="1"/>
        <family val="0"/>
        <b val="1"/>
        <color rgb="FFFF0000"/>
        <sz val="10"/>
      </font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7E6E6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3" min="10" style="0" width="9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A5" s="4" t="s">
        <v>3</v>
      </c>
      <c r="D5" s="5" t="str">
        <f aca="false">RAW_key_statistics!$EA$2</f>
        <v>2026-08-10T01:52:49</v>
      </c>
    </row>
    <row r="6" customFormat="false" ht="15" hidden="false" customHeight="false" outlineLevel="0" collapsed="false">
      <c r="A6" s="4" t="s">
        <v>4</v>
      </c>
      <c r="D6" s="6" t="n">
        <f aca="false">COUNTA(Screener!$A$2:$A$13)</f>
        <v>12</v>
      </c>
    </row>
    <row r="7" customFormat="false" ht="15" hidden="false" customHeight="false" outlineLevel="0" collapsed="false">
      <c r="A7" s="4" t="s">
        <v>5</v>
      </c>
      <c r="D7" s="6" t="n">
        <f aca="false">COUNTIF(Screener!$AC$2:$AC$13,"&gt;="&amp;Setup!$B$9)</f>
        <v>3</v>
      </c>
    </row>
    <row r="8" customFormat="false" ht="15" hidden="false" customHeight="false" outlineLevel="0" collapsed="false">
      <c r="A8" s="4" t="s">
        <v>6</v>
      </c>
      <c r="D8" s="6" t="n">
        <f aca="false">COUNTIF(Screener!$AC$2:$AC$13,"&gt;="&amp;Setup!$B$10)</f>
        <v>7</v>
      </c>
    </row>
    <row r="10" customFormat="false" ht="15" hidden="false" customHeight="false" outlineLevel="0" collapsed="false">
      <c r="A10" s="7" t="s">
        <v>7</v>
      </c>
      <c r="F10" s="7" t="s">
        <v>8</v>
      </c>
    </row>
    <row r="11" customFormat="false" ht="23.85" hidden="false" customHeight="false" outlineLevel="0" collapsed="false">
      <c r="A11" s="8" t="s">
        <v>9</v>
      </c>
      <c r="B11" s="8" t="s">
        <v>10</v>
      </c>
      <c r="C11" s="8" t="s">
        <v>11</v>
      </c>
      <c r="F11" s="8" t="s">
        <v>12</v>
      </c>
      <c r="G11" s="8" t="s">
        <v>13</v>
      </c>
    </row>
    <row r="12" customFormat="false" ht="15" hidden="false" customHeight="false" outlineLevel="0" collapsed="false">
      <c r="A12" s="9" t="s">
        <v>14</v>
      </c>
      <c r="B12" s="10" t="n">
        <f aca="false">COUNTIF(Screener!$AI$2:$AI$13,"BUY")</f>
        <v>1</v>
      </c>
      <c r="C12" s="11" t="n">
        <f aca="false">IFERROR(B12/$D$6,"")</f>
        <v>0.0833333333333333</v>
      </c>
      <c r="F12" s="9" t="s">
        <v>15</v>
      </c>
      <c r="G12" s="12" t="n">
        <f aca="false">IFERROR(MEDIAN(Screener!$G$2:$G$13),"")</f>
        <v>8.52138238459042</v>
      </c>
    </row>
    <row r="13" customFormat="false" ht="15" hidden="false" customHeight="false" outlineLevel="0" collapsed="false">
      <c r="A13" s="9" t="s">
        <v>16</v>
      </c>
      <c r="B13" s="10" t="n">
        <f aca="false">COUNTIF(Screener!$AI$2:$AI$13,"DEEP VALUE")</f>
        <v>0</v>
      </c>
      <c r="C13" s="11" t="n">
        <f aca="false">IFERROR(B13/$D$6,"")</f>
        <v>0</v>
      </c>
      <c r="F13" s="9" t="s">
        <v>17</v>
      </c>
      <c r="G13" s="12" t="n">
        <f aca="false">IFERROR(MEDIAN(Screener!$H$2:$H$13),"")</f>
        <v>1.26876306454921</v>
      </c>
    </row>
    <row r="14" customFormat="false" ht="15" hidden="false" customHeight="false" outlineLevel="0" collapsed="false">
      <c r="A14" s="9" t="s">
        <v>18</v>
      </c>
      <c r="B14" s="10" t="n">
        <f aca="false">COUNTIF(Screener!$AI$2:$AI$13,"WATCH")</f>
        <v>6</v>
      </c>
      <c r="C14" s="11" t="n">
        <f aca="false">IFERROR(B14/$D$6,"")</f>
        <v>0.5</v>
      </c>
      <c r="F14" s="9" t="s">
        <v>19</v>
      </c>
      <c r="G14" s="12" t="n">
        <f aca="false">IFERROR(MEDIAN(Screener!$I$2:$I$13),"")</f>
        <v>6.47667967861175</v>
      </c>
    </row>
    <row r="15" customFormat="false" ht="15" hidden="false" customHeight="false" outlineLevel="0" collapsed="false">
      <c r="A15" s="9" t="s">
        <v>20</v>
      </c>
      <c r="B15" s="10" t="n">
        <f aca="false">COUNTIF(Screener!$AI$2:$AI$13,"SKIP")</f>
        <v>5</v>
      </c>
      <c r="C15" s="11" t="n">
        <f aca="false">IFERROR(B15/$D$6,"")</f>
        <v>0.416666666666667</v>
      </c>
      <c r="F15" s="9" t="s">
        <v>21</v>
      </c>
      <c r="G15" s="10" t="n">
        <f aca="false">COUNTIF(Screener!$Q$2:$Q$13,"&gt;=7")</f>
        <v>2</v>
      </c>
    </row>
    <row r="16" customFormat="false" ht="15" hidden="false" customHeight="false" outlineLevel="0" collapsed="false">
      <c r="F16" s="9" t="s">
        <v>22</v>
      </c>
      <c r="G16" s="10" t="n">
        <f aca="false">COUNTIF(Screener!$R$2:$R$13,"&lt;1.1")</f>
        <v>2</v>
      </c>
    </row>
    <row r="17" customFormat="false" ht="15" hidden="false" customHeight="false" outlineLevel="0" collapsed="false">
      <c r="F17" s="9" t="s">
        <v>23</v>
      </c>
      <c r="G17" s="13" t="n">
        <f aca="false">IFERROR(MEDIAN(Screener!$AC$2:$AC$13),"")</f>
        <v>0.199377085344406</v>
      </c>
    </row>
    <row r="20" customFormat="false" ht="15" hidden="false" customHeight="false" outlineLevel="0" collapsed="false">
      <c r="A20" s="7" t="s">
        <v>24</v>
      </c>
    </row>
    <row r="21" customFormat="false" ht="15" hidden="false" customHeight="false" outlineLevel="0" collapsed="false">
      <c r="A21" s="14" t="s">
        <v>25</v>
      </c>
    </row>
    <row r="22" customFormat="false" ht="15" hidden="false" customHeight="false" outlineLevel="0" collapsed="false">
      <c r="A22" s="8" t="s">
        <v>26</v>
      </c>
      <c r="B22" s="8" t="s">
        <v>27</v>
      </c>
      <c r="C22" s="8" t="s">
        <v>28</v>
      </c>
      <c r="D22" s="8" t="s">
        <v>29</v>
      </c>
      <c r="E22" s="8" t="s">
        <v>30</v>
      </c>
      <c r="F22" s="8" t="s">
        <v>31</v>
      </c>
      <c r="G22" s="8" t="s">
        <v>32</v>
      </c>
      <c r="H22" s="8" t="s">
        <v>33</v>
      </c>
      <c r="I22" s="8" t="s">
        <v>34</v>
      </c>
      <c r="J22" s="8" t="s">
        <v>35</v>
      </c>
      <c r="K22" s="8" t="s">
        <v>36</v>
      </c>
      <c r="L22" s="8" t="s">
        <v>13</v>
      </c>
      <c r="M22" s="8" t="s">
        <v>37</v>
      </c>
      <c r="N22" s="8" t="s">
        <v>9</v>
      </c>
    </row>
    <row r="23" customFormat="false" ht="15" hidden="false" customHeight="false" outlineLevel="0" collapsed="false">
      <c r="A23" s="15" t="n">
        <v>1</v>
      </c>
      <c r="B23" s="16" t="s">
        <v>38</v>
      </c>
      <c r="C23" s="17" t="str">
        <f aca="false">IFERROR(IF(ISBLANK(INDEX(Screener!$B$2:$B$13,MATCH($B23,Screener!$A$2:$A$13,0))),"",INDEX(Screener!$B$2:$B$13,MATCH($B23,Screener!$A$2:$A$13,0))),"")</f>
        <v>Bank Mandiri (Persero) Tbk.</v>
      </c>
      <c r="D23" s="17" t="str">
        <f aca="false">IFERROR(IF(ISBLANK(INDEX(Screener!$C$2:$C$13,MATCH($B23,Screener!$A$2:$A$13,0))),"",INDEX(Screener!$C$2:$C$13,MATCH($B23,Screener!$A$2:$A$13,0))),"")</f>
        <v>Financials</v>
      </c>
      <c r="E23" s="17" t="str">
        <f aca="false">IFERROR(IF(ISBLANK(INDEX(Screener!$D$2:$D$13,MATCH($B23,Screener!$A$2:$A$13,0))),"",INDEX(Screener!$D$2:$D$13,MATCH($B23,Screener!$A$2:$A$13,0))),"")</f>
        <v>Financial</v>
      </c>
      <c r="F23" s="18" t="n">
        <f aca="false">IFERROR(IF(ISBLANK(INDEX(Screener!$E$2:$E$13,MATCH($B23,Screener!$A$2:$A$13,0))),"",INDEX(Screener!$E$2:$E$13,MATCH($B23,Screener!$A$2:$A$13,0))),"")</f>
        <v>4240</v>
      </c>
      <c r="G23" s="18" t="n">
        <f aca="false">IFERROR(IF(ISBLANK(INDEX(Screener!$AB$2:$AB$13,MATCH($B23,Screener!$A$2:$A$13,0))),"",INDEX(Screener!$AB$2:$AB$13,MATCH($B23,Screener!$A$2:$A$13,0))),"")</f>
        <v>7105.82993786026</v>
      </c>
      <c r="H23" s="13" t="n">
        <f aca="false">IFERROR(IF(ISBLANK(INDEX(Screener!$AC$2:$AC$13,MATCH($B23,Screener!$A$2:$A$13,0))),"",INDEX(Screener!$AC$2:$AC$13,MATCH($B23,Screener!$A$2:$A$13,0))),"")</f>
        <v>0.403306856893797</v>
      </c>
      <c r="I23" s="19" t="n">
        <f aca="false">IFERROR(IF(ISBLANK(INDEX(Screener!$AH$2:$AH$13,MATCH($B23,Screener!$A$2:$A$13,0))),"",INDEX(Screener!$AH$2:$AH$13,MATCH($B23,Screener!$A$2:$A$13,0))),"")</f>
        <v>74.3</v>
      </c>
      <c r="J23" s="19" t="n">
        <f aca="false">IFERROR(IF(ISBLANK(INDEX(Screener!$AE$2:$AE$13,MATCH($B23,Screener!$A$2:$A$13,0))),"",INDEX(Screener!$AE$2:$AE$13,MATCH($B23,Screener!$A$2:$A$13,0))),"")</f>
        <v>85</v>
      </c>
      <c r="K23" s="19" t="n">
        <f aca="false">IFERROR(IF(ISBLANK(INDEX(Screener!$AF$2:$AF$13,MATCH($B23,Screener!$A$2:$A$13,0))),"",INDEX(Screener!$AF$2:$AF$13,MATCH($B23,Screener!$A$2:$A$13,0))),"")</f>
        <v>62.8</v>
      </c>
      <c r="L23" s="19" t="n">
        <f aca="false">IFERROR(IF(ISBLANK(INDEX(Screener!$AG$2:$AG$13,MATCH($B23,Screener!$A$2:$A$13,0))),"",INDEX(Screener!$AG$2:$AG$13,MATCH($B23,Screener!$A$2:$A$13,0))),"")</f>
        <v>75</v>
      </c>
      <c r="M23" s="10" t="n">
        <f aca="false">IFERROR(IF(ISBLANK(INDEX(Screener!$Q$2:$Q$13,MATCH($B23,Screener!$A$2:$A$13,0))),"",INDEX(Screener!$Q$2:$Q$13,MATCH($B23,Screener!$A$2:$A$13,0))),"")</f>
        <v>5</v>
      </c>
      <c r="N23" s="17" t="str">
        <f aca="false">IFERROR(IF(ISBLANK(INDEX(Screener!$AI$2:$AI$13,MATCH($B23,Screener!$A$2:$A$13,0))),"",INDEX(Screener!$AI$2:$AI$13,MATCH($B23,Screener!$A$2:$A$13,0))),"")</f>
        <v>BUY</v>
      </c>
    </row>
    <row r="24" customFormat="false" ht="15" hidden="false" customHeight="false" outlineLevel="0" collapsed="false">
      <c r="A24" s="15" t="n">
        <v>2</v>
      </c>
      <c r="B24" s="16"/>
      <c r="C24" s="17" t="str">
        <f aca="false">IFERROR(IF(ISBLANK(INDEX(Screener!$B$2:$B$13,MATCH($B24,Screener!$A$2:$A$13,0))),"",INDEX(Screener!$B$2:$B$13,MATCH($B24,Screener!$A$2:$A$13,0))),"")</f>
        <v/>
      </c>
      <c r="D24" s="17" t="str">
        <f aca="false">IFERROR(IF(ISBLANK(INDEX(Screener!$C$2:$C$13,MATCH($B24,Screener!$A$2:$A$13,0))),"",INDEX(Screener!$C$2:$C$13,MATCH($B24,Screener!$A$2:$A$13,0))),"")</f>
        <v/>
      </c>
      <c r="E24" s="17" t="str">
        <f aca="false">IFERROR(IF(ISBLANK(INDEX(Screener!$D$2:$D$13,MATCH($B24,Screener!$A$2:$A$13,0))),"",INDEX(Screener!$D$2:$D$13,MATCH($B24,Screener!$A$2:$A$13,0))),"")</f>
        <v/>
      </c>
      <c r="F24" s="18" t="str">
        <f aca="false">IFERROR(IF(ISBLANK(INDEX(Screener!$E$2:$E$13,MATCH($B24,Screener!$A$2:$A$13,0))),"",INDEX(Screener!$E$2:$E$13,MATCH($B24,Screener!$A$2:$A$13,0))),"")</f>
        <v/>
      </c>
      <c r="G24" s="18" t="str">
        <f aca="false">IFERROR(IF(ISBLANK(INDEX(Screener!$AB$2:$AB$13,MATCH($B24,Screener!$A$2:$A$13,0))),"",INDEX(Screener!$AB$2:$AB$13,MATCH($B24,Screener!$A$2:$A$13,0))),"")</f>
        <v/>
      </c>
      <c r="H24" s="13" t="str">
        <f aca="false">IFERROR(IF(ISBLANK(INDEX(Screener!$AC$2:$AC$13,MATCH($B24,Screener!$A$2:$A$13,0))),"",INDEX(Screener!$AC$2:$AC$13,MATCH($B24,Screener!$A$2:$A$13,0))),"")</f>
        <v/>
      </c>
      <c r="I24" s="19" t="str">
        <f aca="false">IFERROR(IF(ISBLANK(INDEX(Screener!$AH$2:$AH$13,MATCH($B24,Screener!$A$2:$A$13,0))),"",INDEX(Screener!$AH$2:$AH$13,MATCH($B24,Screener!$A$2:$A$13,0))),"")</f>
        <v/>
      </c>
      <c r="J24" s="19" t="str">
        <f aca="false">IFERROR(IF(ISBLANK(INDEX(Screener!$AE$2:$AE$13,MATCH($B24,Screener!$A$2:$A$13,0))),"",INDEX(Screener!$AE$2:$AE$13,MATCH($B24,Screener!$A$2:$A$13,0))),"")</f>
        <v/>
      </c>
      <c r="K24" s="19" t="str">
        <f aca="false">IFERROR(IF(ISBLANK(INDEX(Screener!$AF$2:$AF$13,MATCH($B24,Screener!$A$2:$A$13,0))),"",INDEX(Screener!$AF$2:$AF$13,MATCH($B24,Screener!$A$2:$A$13,0))),"")</f>
        <v/>
      </c>
      <c r="L24" s="19" t="str">
        <f aca="false">IFERROR(IF(ISBLANK(INDEX(Screener!$AG$2:$AG$13,MATCH($B24,Screener!$A$2:$A$13,0))),"",INDEX(Screener!$AG$2:$AG$13,MATCH($B24,Screener!$A$2:$A$13,0))),"")</f>
        <v/>
      </c>
      <c r="M24" s="10" t="str">
        <f aca="false">IFERROR(IF(ISBLANK(INDEX(Screener!$Q$2:$Q$13,MATCH($B24,Screener!$A$2:$A$13,0))),"",INDEX(Screener!$Q$2:$Q$13,MATCH($B24,Screener!$A$2:$A$13,0))),"")</f>
        <v/>
      </c>
      <c r="N24" s="17" t="str">
        <f aca="false">IFERROR(IF(ISBLANK(INDEX(Screener!$AI$2:$AI$13,MATCH($B24,Screener!$A$2:$A$13,0))),"",INDEX(Screener!$AI$2:$AI$13,MATCH($B24,Screener!$A$2:$A$13,0))),"")</f>
        <v/>
      </c>
    </row>
    <row r="25" customFormat="false" ht="15" hidden="false" customHeight="false" outlineLevel="0" collapsed="false">
      <c r="A25" s="15" t="n">
        <v>3</v>
      </c>
      <c r="B25" s="16"/>
      <c r="C25" s="17" t="str">
        <f aca="false">IFERROR(IF(ISBLANK(INDEX(Screener!$B$2:$B$13,MATCH($B25,Screener!$A$2:$A$13,0))),"",INDEX(Screener!$B$2:$B$13,MATCH($B25,Screener!$A$2:$A$13,0))),"")</f>
        <v/>
      </c>
      <c r="D25" s="17" t="str">
        <f aca="false">IFERROR(IF(ISBLANK(INDEX(Screener!$C$2:$C$13,MATCH($B25,Screener!$A$2:$A$13,0))),"",INDEX(Screener!$C$2:$C$13,MATCH($B25,Screener!$A$2:$A$13,0))),"")</f>
        <v/>
      </c>
      <c r="E25" s="17" t="str">
        <f aca="false">IFERROR(IF(ISBLANK(INDEX(Screener!$D$2:$D$13,MATCH($B25,Screener!$A$2:$A$13,0))),"",INDEX(Screener!$D$2:$D$13,MATCH($B25,Screener!$A$2:$A$13,0))),"")</f>
        <v/>
      </c>
      <c r="F25" s="18" t="str">
        <f aca="false">IFERROR(IF(ISBLANK(INDEX(Screener!$E$2:$E$13,MATCH($B25,Screener!$A$2:$A$13,0))),"",INDEX(Screener!$E$2:$E$13,MATCH($B25,Screener!$A$2:$A$13,0))),"")</f>
        <v/>
      </c>
      <c r="G25" s="18" t="str">
        <f aca="false">IFERROR(IF(ISBLANK(INDEX(Screener!$AB$2:$AB$13,MATCH($B25,Screener!$A$2:$A$13,0))),"",INDEX(Screener!$AB$2:$AB$13,MATCH($B25,Screener!$A$2:$A$13,0))),"")</f>
        <v/>
      </c>
      <c r="H25" s="13" t="str">
        <f aca="false">IFERROR(IF(ISBLANK(INDEX(Screener!$AC$2:$AC$13,MATCH($B25,Screener!$A$2:$A$13,0))),"",INDEX(Screener!$AC$2:$AC$13,MATCH($B25,Screener!$A$2:$A$13,0))),"")</f>
        <v/>
      </c>
      <c r="I25" s="19" t="str">
        <f aca="false">IFERROR(IF(ISBLANK(INDEX(Screener!$AH$2:$AH$13,MATCH($B25,Screener!$A$2:$A$13,0))),"",INDEX(Screener!$AH$2:$AH$13,MATCH($B25,Screener!$A$2:$A$13,0))),"")</f>
        <v/>
      </c>
      <c r="J25" s="19" t="str">
        <f aca="false">IFERROR(IF(ISBLANK(INDEX(Screener!$AE$2:$AE$13,MATCH($B25,Screener!$A$2:$A$13,0))),"",INDEX(Screener!$AE$2:$AE$13,MATCH($B25,Screener!$A$2:$A$13,0))),"")</f>
        <v/>
      </c>
      <c r="K25" s="19" t="str">
        <f aca="false">IFERROR(IF(ISBLANK(INDEX(Screener!$AF$2:$AF$13,MATCH($B25,Screener!$A$2:$A$13,0))),"",INDEX(Screener!$AF$2:$AF$13,MATCH($B25,Screener!$A$2:$A$13,0))),"")</f>
        <v/>
      </c>
      <c r="L25" s="19" t="str">
        <f aca="false">IFERROR(IF(ISBLANK(INDEX(Screener!$AG$2:$AG$13,MATCH($B25,Screener!$A$2:$A$13,0))),"",INDEX(Screener!$AG$2:$AG$13,MATCH($B25,Screener!$A$2:$A$13,0))),"")</f>
        <v/>
      </c>
      <c r="M25" s="10" t="str">
        <f aca="false">IFERROR(IF(ISBLANK(INDEX(Screener!$Q$2:$Q$13,MATCH($B25,Screener!$A$2:$A$13,0))),"",INDEX(Screener!$Q$2:$Q$13,MATCH($B25,Screener!$A$2:$A$13,0))),"")</f>
        <v/>
      </c>
      <c r="N25" s="17" t="str">
        <f aca="false">IFERROR(IF(ISBLANK(INDEX(Screener!$AI$2:$AI$13,MATCH($B25,Screener!$A$2:$A$13,0))),"",INDEX(Screener!$AI$2:$AI$13,MATCH($B25,Screener!$A$2:$A$13,0))),"")</f>
        <v/>
      </c>
    </row>
    <row r="26" customFormat="false" ht="15" hidden="false" customHeight="false" outlineLevel="0" collapsed="false">
      <c r="A26" s="15" t="n">
        <v>4</v>
      </c>
      <c r="B26" s="16"/>
      <c r="C26" s="17" t="str">
        <f aca="false">IFERROR(IF(ISBLANK(INDEX(Screener!$B$2:$B$13,MATCH($B26,Screener!$A$2:$A$13,0))),"",INDEX(Screener!$B$2:$B$13,MATCH($B26,Screener!$A$2:$A$13,0))),"")</f>
        <v/>
      </c>
      <c r="D26" s="17" t="str">
        <f aca="false">IFERROR(IF(ISBLANK(INDEX(Screener!$C$2:$C$13,MATCH($B26,Screener!$A$2:$A$13,0))),"",INDEX(Screener!$C$2:$C$13,MATCH($B26,Screener!$A$2:$A$13,0))),"")</f>
        <v/>
      </c>
      <c r="E26" s="17" t="str">
        <f aca="false">IFERROR(IF(ISBLANK(INDEX(Screener!$D$2:$D$13,MATCH($B26,Screener!$A$2:$A$13,0))),"",INDEX(Screener!$D$2:$D$13,MATCH($B26,Screener!$A$2:$A$13,0))),"")</f>
        <v/>
      </c>
      <c r="F26" s="18" t="str">
        <f aca="false">IFERROR(IF(ISBLANK(INDEX(Screener!$E$2:$E$13,MATCH($B26,Screener!$A$2:$A$13,0))),"",INDEX(Screener!$E$2:$E$13,MATCH($B26,Screener!$A$2:$A$13,0))),"")</f>
        <v/>
      </c>
      <c r="G26" s="18" t="str">
        <f aca="false">IFERROR(IF(ISBLANK(INDEX(Screener!$AB$2:$AB$13,MATCH($B26,Screener!$A$2:$A$13,0))),"",INDEX(Screener!$AB$2:$AB$13,MATCH($B26,Screener!$A$2:$A$13,0))),"")</f>
        <v/>
      </c>
      <c r="H26" s="13" t="str">
        <f aca="false">IFERROR(IF(ISBLANK(INDEX(Screener!$AC$2:$AC$13,MATCH($B26,Screener!$A$2:$A$13,0))),"",INDEX(Screener!$AC$2:$AC$13,MATCH($B26,Screener!$A$2:$A$13,0))),"")</f>
        <v/>
      </c>
      <c r="I26" s="19" t="str">
        <f aca="false">IFERROR(IF(ISBLANK(INDEX(Screener!$AH$2:$AH$13,MATCH($B26,Screener!$A$2:$A$13,0))),"",INDEX(Screener!$AH$2:$AH$13,MATCH($B26,Screener!$A$2:$A$13,0))),"")</f>
        <v/>
      </c>
      <c r="J26" s="19" t="str">
        <f aca="false">IFERROR(IF(ISBLANK(INDEX(Screener!$AE$2:$AE$13,MATCH($B26,Screener!$A$2:$A$13,0))),"",INDEX(Screener!$AE$2:$AE$13,MATCH($B26,Screener!$A$2:$A$13,0))),"")</f>
        <v/>
      </c>
      <c r="K26" s="19" t="str">
        <f aca="false">IFERROR(IF(ISBLANK(INDEX(Screener!$AF$2:$AF$13,MATCH($B26,Screener!$A$2:$A$13,0))),"",INDEX(Screener!$AF$2:$AF$13,MATCH($B26,Screener!$A$2:$A$13,0))),"")</f>
        <v/>
      </c>
      <c r="L26" s="19" t="str">
        <f aca="false">IFERROR(IF(ISBLANK(INDEX(Screener!$AG$2:$AG$13,MATCH($B26,Screener!$A$2:$A$13,0))),"",INDEX(Screener!$AG$2:$AG$13,MATCH($B26,Screener!$A$2:$A$13,0))),"")</f>
        <v/>
      </c>
      <c r="M26" s="10" t="str">
        <f aca="false">IFERROR(IF(ISBLANK(INDEX(Screener!$Q$2:$Q$13,MATCH($B26,Screener!$A$2:$A$13,0))),"",INDEX(Screener!$Q$2:$Q$13,MATCH($B26,Screener!$A$2:$A$13,0))),"")</f>
        <v/>
      </c>
      <c r="N26" s="17" t="str">
        <f aca="false">IFERROR(IF(ISBLANK(INDEX(Screener!$AI$2:$AI$13,MATCH($B26,Screener!$A$2:$A$13,0))),"",INDEX(Screener!$AI$2:$AI$13,MATCH($B26,Screener!$A$2:$A$13,0))),"")</f>
        <v/>
      </c>
    </row>
    <row r="27" customFormat="false" ht="15" hidden="false" customHeight="false" outlineLevel="0" collapsed="false">
      <c r="A27" s="15" t="n">
        <v>5</v>
      </c>
      <c r="B27" s="16"/>
      <c r="C27" s="17" t="str">
        <f aca="false">IFERROR(IF(ISBLANK(INDEX(Screener!$B$2:$B$13,MATCH($B27,Screener!$A$2:$A$13,0))),"",INDEX(Screener!$B$2:$B$13,MATCH($B27,Screener!$A$2:$A$13,0))),"")</f>
        <v/>
      </c>
      <c r="D27" s="17" t="str">
        <f aca="false">IFERROR(IF(ISBLANK(INDEX(Screener!$C$2:$C$13,MATCH($B27,Screener!$A$2:$A$13,0))),"",INDEX(Screener!$C$2:$C$13,MATCH($B27,Screener!$A$2:$A$13,0))),"")</f>
        <v/>
      </c>
      <c r="E27" s="17" t="str">
        <f aca="false">IFERROR(IF(ISBLANK(INDEX(Screener!$D$2:$D$13,MATCH($B27,Screener!$A$2:$A$13,0))),"",INDEX(Screener!$D$2:$D$13,MATCH($B27,Screener!$A$2:$A$13,0))),"")</f>
        <v/>
      </c>
      <c r="F27" s="18" t="str">
        <f aca="false">IFERROR(IF(ISBLANK(INDEX(Screener!$E$2:$E$13,MATCH($B27,Screener!$A$2:$A$13,0))),"",INDEX(Screener!$E$2:$E$13,MATCH($B27,Screener!$A$2:$A$13,0))),"")</f>
        <v/>
      </c>
      <c r="G27" s="18" t="str">
        <f aca="false">IFERROR(IF(ISBLANK(INDEX(Screener!$AB$2:$AB$13,MATCH($B27,Screener!$A$2:$A$13,0))),"",INDEX(Screener!$AB$2:$AB$13,MATCH($B27,Screener!$A$2:$A$13,0))),"")</f>
        <v/>
      </c>
      <c r="H27" s="13" t="str">
        <f aca="false">IFERROR(IF(ISBLANK(INDEX(Screener!$AC$2:$AC$13,MATCH($B27,Screener!$A$2:$A$13,0))),"",INDEX(Screener!$AC$2:$AC$13,MATCH($B27,Screener!$A$2:$A$13,0))),"")</f>
        <v/>
      </c>
      <c r="I27" s="19" t="str">
        <f aca="false">IFERROR(IF(ISBLANK(INDEX(Screener!$AH$2:$AH$13,MATCH($B27,Screener!$A$2:$A$13,0))),"",INDEX(Screener!$AH$2:$AH$13,MATCH($B27,Screener!$A$2:$A$13,0))),"")</f>
        <v/>
      </c>
      <c r="J27" s="19" t="str">
        <f aca="false">IFERROR(IF(ISBLANK(INDEX(Screener!$AE$2:$AE$13,MATCH($B27,Screener!$A$2:$A$13,0))),"",INDEX(Screener!$AE$2:$AE$13,MATCH($B27,Screener!$A$2:$A$13,0))),"")</f>
        <v/>
      </c>
      <c r="K27" s="19" t="str">
        <f aca="false">IFERROR(IF(ISBLANK(INDEX(Screener!$AF$2:$AF$13,MATCH($B27,Screener!$A$2:$A$13,0))),"",INDEX(Screener!$AF$2:$AF$13,MATCH($B27,Screener!$A$2:$A$13,0))),"")</f>
        <v/>
      </c>
      <c r="L27" s="19" t="str">
        <f aca="false">IFERROR(IF(ISBLANK(INDEX(Screener!$AG$2:$AG$13,MATCH($B27,Screener!$A$2:$A$13,0))),"",INDEX(Screener!$AG$2:$AG$13,MATCH($B27,Screener!$A$2:$A$13,0))),"")</f>
        <v/>
      </c>
      <c r="M27" s="10" t="str">
        <f aca="false">IFERROR(IF(ISBLANK(INDEX(Screener!$Q$2:$Q$13,MATCH($B27,Screener!$A$2:$A$13,0))),"",INDEX(Screener!$Q$2:$Q$13,MATCH($B27,Screener!$A$2:$A$13,0))),"")</f>
        <v/>
      </c>
      <c r="N27" s="17" t="str">
        <f aca="false">IFERROR(IF(ISBLANK(INDEX(Screener!$AI$2:$AI$13,MATCH($B27,Screener!$A$2:$A$13,0))),"",INDEX(Screener!$AI$2:$AI$13,MATCH($B27,Screener!$A$2:$A$13,0))),"")</f>
        <v/>
      </c>
    </row>
    <row r="28" customFormat="false" ht="15" hidden="false" customHeight="false" outlineLevel="0" collapsed="false">
      <c r="A28" s="15" t="n">
        <v>6</v>
      </c>
      <c r="B28" s="16"/>
      <c r="C28" s="17" t="str">
        <f aca="false">IFERROR(IF(ISBLANK(INDEX(Screener!$B$2:$B$13,MATCH($B28,Screener!$A$2:$A$13,0))),"",INDEX(Screener!$B$2:$B$13,MATCH($B28,Screener!$A$2:$A$13,0))),"")</f>
        <v/>
      </c>
      <c r="D28" s="17" t="str">
        <f aca="false">IFERROR(IF(ISBLANK(INDEX(Screener!$C$2:$C$13,MATCH($B28,Screener!$A$2:$A$13,0))),"",INDEX(Screener!$C$2:$C$13,MATCH($B28,Screener!$A$2:$A$13,0))),"")</f>
        <v/>
      </c>
      <c r="E28" s="17" t="str">
        <f aca="false">IFERROR(IF(ISBLANK(INDEX(Screener!$D$2:$D$13,MATCH($B28,Screener!$A$2:$A$13,0))),"",INDEX(Screener!$D$2:$D$13,MATCH($B28,Screener!$A$2:$A$13,0))),"")</f>
        <v/>
      </c>
      <c r="F28" s="18" t="str">
        <f aca="false">IFERROR(IF(ISBLANK(INDEX(Screener!$E$2:$E$13,MATCH($B28,Screener!$A$2:$A$13,0))),"",INDEX(Screener!$E$2:$E$13,MATCH($B28,Screener!$A$2:$A$13,0))),"")</f>
        <v/>
      </c>
      <c r="G28" s="18" t="str">
        <f aca="false">IFERROR(IF(ISBLANK(INDEX(Screener!$AB$2:$AB$13,MATCH($B28,Screener!$A$2:$A$13,0))),"",INDEX(Screener!$AB$2:$AB$13,MATCH($B28,Screener!$A$2:$A$13,0))),"")</f>
        <v/>
      </c>
      <c r="H28" s="13" t="str">
        <f aca="false">IFERROR(IF(ISBLANK(INDEX(Screener!$AC$2:$AC$13,MATCH($B28,Screener!$A$2:$A$13,0))),"",INDEX(Screener!$AC$2:$AC$13,MATCH($B28,Screener!$A$2:$A$13,0))),"")</f>
        <v/>
      </c>
      <c r="I28" s="19" t="str">
        <f aca="false">IFERROR(IF(ISBLANK(INDEX(Screener!$AH$2:$AH$13,MATCH($B28,Screener!$A$2:$A$13,0))),"",INDEX(Screener!$AH$2:$AH$13,MATCH($B28,Screener!$A$2:$A$13,0))),"")</f>
        <v/>
      </c>
      <c r="J28" s="19" t="str">
        <f aca="false">IFERROR(IF(ISBLANK(INDEX(Screener!$AE$2:$AE$13,MATCH($B28,Screener!$A$2:$A$13,0))),"",INDEX(Screener!$AE$2:$AE$13,MATCH($B28,Screener!$A$2:$A$13,0))),"")</f>
        <v/>
      </c>
      <c r="K28" s="19" t="str">
        <f aca="false">IFERROR(IF(ISBLANK(INDEX(Screener!$AF$2:$AF$13,MATCH($B28,Screener!$A$2:$A$13,0))),"",INDEX(Screener!$AF$2:$AF$13,MATCH($B28,Screener!$A$2:$A$13,0))),"")</f>
        <v/>
      </c>
      <c r="L28" s="19" t="str">
        <f aca="false">IFERROR(IF(ISBLANK(INDEX(Screener!$AG$2:$AG$13,MATCH($B28,Screener!$A$2:$A$13,0))),"",INDEX(Screener!$AG$2:$AG$13,MATCH($B28,Screener!$A$2:$A$13,0))),"")</f>
        <v/>
      </c>
      <c r="M28" s="10" t="str">
        <f aca="false">IFERROR(IF(ISBLANK(INDEX(Screener!$Q$2:$Q$13,MATCH($B28,Screener!$A$2:$A$13,0))),"",INDEX(Screener!$Q$2:$Q$13,MATCH($B28,Screener!$A$2:$A$13,0))),"")</f>
        <v/>
      </c>
      <c r="N28" s="17" t="str">
        <f aca="false">IFERROR(IF(ISBLANK(INDEX(Screener!$AI$2:$AI$13,MATCH($B28,Screener!$A$2:$A$13,0))),"",INDEX(Screener!$AI$2:$AI$13,MATCH($B28,Screener!$A$2:$A$13,0))),"")</f>
        <v/>
      </c>
    </row>
    <row r="29" customFormat="false" ht="15" hidden="false" customHeight="false" outlineLevel="0" collapsed="false">
      <c r="A29" s="15" t="n">
        <v>7</v>
      </c>
      <c r="B29" s="16"/>
      <c r="C29" s="17" t="str">
        <f aca="false">IFERROR(IF(ISBLANK(INDEX(Screener!$B$2:$B$13,MATCH($B29,Screener!$A$2:$A$13,0))),"",INDEX(Screener!$B$2:$B$13,MATCH($B29,Screener!$A$2:$A$13,0))),"")</f>
        <v/>
      </c>
      <c r="D29" s="17" t="str">
        <f aca="false">IFERROR(IF(ISBLANK(INDEX(Screener!$C$2:$C$13,MATCH($B29,Screener!$A$2:$A$13,0))),"",INDEX(Screener!$C$2:$C$13,MATCH($B29,Screener!$A$2:$A$13,0))),"")</f>
        <v/>
      </c>
      <c r="E29" s="17" t="str">
        <f aca="false">IFERROR(IF(ISBLANK(INDEX(Screener!$D$2:$D$13,MATCH($B29,Screener!$A$2:$A$13,0))),"",INDEX(Screener!$D$2:$D$13,MATCH($B29,Screener!$A$2:$A$13,0))),"")</f>
        <v/>
      </c>
      <c r="F29" s="18" t="str">
        <f aca="false">IFERROR(IF(ISBLANK(INDEX(Screener!$E$2:$E$13,MATCH($B29,Screener!$A$2:$A$13,0))),"",INDEX(Screener!$E$2:$E$13,MATCH($B29,Screener!$A$2:$A$13,0))),"")</f>
        <v/>
      </c>
      <c r="G29" s="18" t="str">
        <f aca="false">IFERROR(IF(ISBLANK(INDEX(Screener!$AB$2:$AB$13,MATCH($B29,Screener!$A$2:$A$13,0))),"",INDEX(Screener!$AB$2:$AB$13,MATCH($B29,Screener!$A$2:$A$13,0))),"")</f>
        <v/>
      </c>
      <c r="H29" s="13" t="str">
        <f aca="false">IFERROR(IF(ISBLANK(INDEX(Screener!$AC$2:$AC$13,MATCH($B29,Screener!$A$2:$A$13,0))),"",INDEX(Screener!$AC$2:$AC$13,MATCH($B29,Screener!$A$2:$A$13,0))),"")</f>
        <v/>
      </c>
      <c r="I29" s="19" t="str">
        <f aca="false">IFERROR(IF(ISBLANK(INDEX(Screener!$AH$2:$AH$13,MATCH($B29,Screener!$A$2:$A$13,0))),"",INDEX(Screener!$AH$2:$AH$13,MATCH($B29,Screener!$A$2:$A$13,0))),"")</f>
        <v/>
      </c>
      <c r="J29" s="19" t="str">
        <f aca="false">IFERROR(IF(ISBLANK(INDEX(Screener!$AE$2:$AE$13,MATCH($B29,Screener!$A$2:$A$13,0))),"",INDEX(Screener!$AE$2:$AE$13,MATCH($B29,Screener!$A$2:$A$13,0))),"")</f>
        <v/>
      </c>
      <c r="K29" s="19" t="str">
        <f aca="false">IFERROR(IF(ISBLANK(INDEX(Screener!$AF$2:$AF$13,MATCH($B29,Screener!$A$2:$A$13,0))),"",INDEX(Screener!$AF$2:$AF$13,MATCH($B29,Screener!$A$2:$A$13,0))),"")</f>
        <v/>
      </c>
      <c r="L29" s="19" t="str">
        <f aca="false">IFERROR(IF(ISBLANK(INDEX(Screener!$AG$2:$AG$13,MATCH($B29,Screener!$A$2:$A$13,0))),"",INDEX(Screener!$AG$2:$AG$13,MATCH($B29,Screener!$A$2:$A$13,0))),"")</f>
        <v/>
      </c>
      <c r="M29" s="10" t="str">
        <f aca="false">IFERROR(IF(ISBLANK(INDEX(Screener!$Q$2:$Q$13,MATCH($B29,Screener!$A$2:$A$13,0))),"",INDEX(Screener!$Q$2:$Q$13,MATCH($B29,Screener!$A$2:$A$13,0))),"")</f>
        <v/>
      </c>
      <c r="N29" s="17" t="str">
        <f aca="false">IFERROR(IF(ISBLANK(INDEX(Screener!$AI$2:$AI$13,MATCH($B29,Screener!$A$2:$A$13,0))),"",INDEX(Screener!$AI$2:$AI$13,MATCH($B29,Screener!$A$2:$A$13,0))),"")</f>
        <v/>
      </c>
    </row>
    <row r="30" customFormat="false" ht="15" hidden="false" customHeight="false" outlineLevel="0" collapsed="false">
      <c r="A30" s="15" t="n">
        <v>8</v>
      </c>
      <c r="B30" s="16"/>
      <c r="C30" s="17" t="str">
        <f aca="false">IFERROR(IF(ISBLANK(INDEX(Screener!$B$2:$B$13,MATCH($B30,Screener!$A$2:$A$13,0))),"",INDEX(Screener!$B$2:$B$13,MATCH($B30,Screener!$A$2:$A$13,0))),"")</f>
        <v/>
      </c>
      <c r="D30" s="17" t="str">
        <f aca="false">IFERROR(IF(ISBLANK(INDEX(Screener!$C$2:$C$13,MATCH($B30,Screener!$A$2:$A$13,0))),"",INDEX(Screener!$C$2:$C$13,MATCH($B30,Screener!$A$2:$A$13,0))),"")</f>
        <v/>
      </c>
      <c r="E30" s="17" t="str">
        <f aca="false">IFERROR(IF(ISBLANK(INDEX(Screener!$D$2:$D$13,MATCH($B30,Screener!$A$2:$A$13,0))),"",INDEX(Screener!$D$2:$D$13,MATCH($B30,Screener!$A$2:$A$13,0))),"")</f>
        <v/>
      </c>
      <c r="F30" s="18" t="str">
        <f aca="false">IFERROR(IF(ISBLANK(INDEX(Screener!$E$2:$E$13,MATCH($B30,Screener!$A$2:$A$13,0))),"",INDEX(Screener!$E$2:$E$13,MATCH($B30,Screener!$A$2:$A$13,0))),"")</f>
        <v/>
      </c>
      <c r="G30" s="18" t="str">
        <f aca="false">IFERROR(IF(ISBLANK(INDEX(Screener!$AB$2:$AB$13,MATCH($B30,Screener!$A$2:$A$13,0))),"",INDEX(Screener!$AB$2:$AB$13,MATCH($B30,Screener!$A$2:$A$13,0))),"")</f>
        <v/>
      </c>
      <c r="H30" s="13" t="str">
        <f aca="false">IFERROR(IF(ISBLANK(INDEX(Screener!$AC$2:$AC$13,MATCH($B30,Screener!$A$2:$A$13,0))),"",INDEX(Screener!$AC$2:$AC$13,MATCH($B30,Screener!$A$2:$A$13,0))),"")</f>
        <v/>
      </c>
      <c r="I30" s="19" t="str">
        <f aca="false">IFERROR(IF(ISBLANK(INDEX(Screener!$AH$2:$AH$13,MATCH($B30,Screener!$A$2:$A$13,0))),"",INDEX(Screener!$AH$2:$AH$13,MATCH($B30,Screener!$A$2:$A$13,0))),"")</f>
        <v/>
      </c>
      <c r="J30" s="19" t="str">
        <f aca="false">IFERROR(IF(ISBLANK(INDEX(Screener!$AE$2:$AE$13,MATCH($B30,Screener!$A$2:$A$13,0))),"",INDEX(Screener!$AE$2:$AE$13,MATCH($B30,Screener!$A$2:$A$13,0))),"")</f>
        <v/>
      </c>
      <c r="K30" s="19" t="str">
        <f aca="false">IFERROR(IF(ISBLANK(INDEX(Screener!$AF$2:$AF$13,MATCH($B30,Screener!$A$2:$A$13,0))),"",INDEX(Screener!$AF$2:$AF$13,MATCH($B30,Screener!$A$2:$A$13,0))),"")</f>
        <v/>
      </c>
      <c r="L30" s="19" t="str">
        <f aca="false">IFERROR(IF(ISBLANK(INDEX(Screener!$AG$2:$AG$13,MATCH($B30,Screener!$A$2:$A$13,0))),"",INDEX(Screener!$AG$2:$AG$13,MATCH($B30,Screener!$A$2:$A$13,0))),"")</f>
        <v/>
      </c>
      <c r="M30" s="10" t="str">
        <f aca="false">IFERROR(IF(ISBLANK(INDEX(Screener!$Q$2:$Q$13,MATCH($B30,Screener!$A$2:$A$13,0))),"",INDEX(Screener!$Q$2:$Q$13,MATCH($B30,Screener!$A$2:$A$13,0))),"")</f>
        <v/>
      </c>
      <c r="N30" s="17" t="str">
        <f aca="false">IFERROR(IF(ISBLANK(INDEX(Screener!$AI$2:$AI$13,MATCH($B30,Screener!$A$2:$A$13,0))),"",INDEX(Screener!$AI$2:$AI$13,MATCH($B30,Screener!$A$2:$A$13,0))),"")</f>
        <v/>
      </c>
    </row>
    <row r="31" customFormat="false" ht="15" hidden="false" customHeight="false" outlineLevel="0" collapsed="false">
      <c r="A31" s="15" t="n">
        <v>9</v>
      </c>
      <c r="B31" s="16"/>
      <c r="C31" s="17" t="str">
        <f aca="false">IFERROR(IF(ISBLANK(INDEX(Screener!$B$2:$B$13,MATCH($B31,Screener!$A$2:$A$13,0))),"",INDEX(Screener!$B$2:$B$13,MATCH($B31,Screener!$A$2:$A$13,0))),"")</f>
        <v/>
      </c>
      <c r="D31" s="17" t="str">
        <f aca="false">IFERROR(IF(ISBLANK(INDEX(Screener!$C$2:$C$13,MATCH($B31,Screener!$A$2:$A$13,0))),"",INDEX(Screener!$C$2:$C$13,MATCH($B31,Screener!$A$2:$A$13,0))),"")</f>
        <v/>
      </c>
      <c r="E31" s="17" t="str">
        <f aca="false">IFERROR(IF(ISBLANK(INDEX(Screener!$D$2:$D$13,MATCH($B31,Screener!$A$2:$A$13,0))),"",INDEX(Screener!$D$2:$D$13,MATCH($B31,Screener!$A$2:$A$13,0))),"")</f>
        <v/>
      </c>
      <c r="F31" s="18" t="str">
        <f aca="false">IFERROR(IF(ISBLANK(INDEX(Screener!$E$2:$E$13,MATCH($B31,Screener!$A$2:$A$13,0))),"",INDEX(Screener!$E$2:$E$13,MATCH($B31,Screener!$A$2:$A$13,0))),"")</f>
        <v/>
      </c>
      <c r="G31" s="18" t="str">
        <f aca="false">IFERROR(IF(ISBLANK(INDEX(Screener!$AB$2:$AB$13,MATCH($B31,Screener!$A$2:$A$13,0))),"",INDEX(Screener!$AB$2:$AB$13,MATCH($B31,Screener!$A$2:$A$13,0))),"")</f>
        <v/>
      </c>
      <c r="H31" s="13" t="str">
        <f aca="false">IFERROR(IF(ISBLANK(INDEX(Screener!$AC$2:$AC$13,MATCH($B31,Screener!$A$2:$A$13,0))),"",INDEX(Screener!$AC$2:$AC$13,MATCH($B31,Screener!$A$2:$A$13,0))),"")</f>
        <v/>
      </c>
      <c r="I31" s="19" t="str">
        <f aca="false">IFERROR(IF(ISBLANK(INDEX(Screener!$AH$2:$AH$13,MATCH($B31,Screener!$A$2:$A$13,0))),"",INDEX(Screener!$AH$2:$AH$13,MATCH($B31,Screener!$A$2:$A$13,0))),"")</f>
        <v/>
      </c>
      <c r="J31" s="19" t="str">
        <f aca="false">IFERROR(IF(ISBLANK(INDEX(Screener!$AE$2:$AE$13,MATCH($B31,Screener!$A$2:$A$13,0))),"",INDEX(Screener!$AE$2:$AE$13,MATCH($B31,Screener!$A$2:$A$13,0))),"")</f>
        <v/>
      </c>
      <c r="K31" s="19" t="str">
        <f aca="false">IFERROR(IF(ISBLANK(INDEX(Screener!$AF$2:$AF$13,MATCH($B31,Screener!$A$2:$A$13,0))),"",INDEX(Screener!$AF$2:$AF$13,MATCH($B31,Screener!$A$2:$A$13,0))),"")</f>
        <v/>
      </c>
      <c r="L31" s="19" t="str">
        <f aca="false">IFERROR(IF(ISBLANK(INDEX(Screener!$AG$2:$AG$13,MATCH($B31,Screener!$A$2:$A$13,0))),"",INDEX(Screener!$AG$2:$AG$13,MATCH($B31,Screener!$A$2:$A$13,0))),"")</f>
        <v/>
      </c>
      <c r="M31" s="10" t="str">
        <f aca="false">IFERROR(IF(ISBLANK(INDEX(Screener!$Q$2:$Q$13,MATCH($B31,Screener!$A$2:$A$13,0))),"",INDEX(Screener!$Q$2:$Q$13,MATCH($B31,Screener!$A$2:$A$13,0))),"")</f>
        <v/>
      </c>
      <c r="N31" s="17" t="str">
        <f aca="false">IFERROR(IF(ISBLANK(INDEX(Screener!$AI$2:$AI$13,MATCH($B31,Screener!$A$2:$A$13,0))),"",INDEX(Screener!$AI$2:$AI$13,MATCH($B31,Screener!$A$2:$A$13,0))),"")</f>
        <v/>
      </c>
    </row>
    <row r="32" customFormat="false" ht="15" hidden="false" customHeight="false" outlineLevel="0" collapsed="false">
      <c r="A32" s="15" t="n">
        <v>10</v>
      </c>
      <c r="B32" s="16"/>
      <c r="C32" s="17" t="str">
        <f aca="false">IFERROR(IF(ISBLANK(INDEX(Screener!$B$2:$B$13,MATCH($B32,Screener!$A$2:$A$13,0))),"",INDEX(Screener!$B$2:$B$13,MATCH($B32,Screener!$A$2:$A$13,0))),"")</f>
        <v/>
      </c>
      <c r="D32" s="17" t="str">
        <f aca="false">IFERROR(IF(ISBLANK(INDEX(Screener!$C$2:$C$13,MATCH($B32,Screener!$A$2:$A$13,0))),"",INDEX(Screener!$C$2:$C$13,MATCH($B32,Screener!$A$2:$A$13,0))),"")</f>
        <v/>
      </c>
      <c r="E32" s="17" t="str">
        <f aca="false">IFERROR(IF(ISBLANK(INDEX(Screener!$D$2:$D$13,MATCH($B32,Screener!$A$2:$A$13,0))),"",INDEX(Screener!$D$2:$D$13,MATCH($B32,Screener!$A$2:$A$13,0))),"")</f>
        <v/>
      </c>
      <c r="F32" s="18" t="str">
        <f aca="false">IFERROR(IF(ISBLANK(INDEX(Screener!$E$2:$E$13,MATCH($B32,Screener!$A$2:$A$13,0))),"",INDEX(Screener!$E$2:$E$13,MATCH($B32,Screener!$A$2:$A$13,0))),"")</f>
        <v/>
      </c>
      <c r="G32" s="18" t="str">
        <f aca="false">IFERROR(IF(ISBLANK(INDEX(Screener!$AB$2:$AB$13,MATCH($B32,Screener!$A$2:$A$13,0))),"",INDEX(Screener!$AB$2:$AB$13,MATCH($B32,Screener!$A$2:$A$13,0))),"")</f>
        <v/>
      </c>
      <c r="H32" s="13" t="str">
        <f aca="false">IFERROR(IF(ISBLANK(INDEX(Screener!$AC$2:$AC$13,MATCH($B32,Screener!$A$2:$A$13,0))),"",INDEX(Screener!$AC$2:$AC$13,MATCH($B32,Screener!$A$2:$A$13,0))),"")</f>
        <v/>
      </c>
      <c r="I32" s="19" t="str">
        <f aca="false">IFERROR(IF(ISBLANK(INDEX(Screener!$AH$2:$AH$13,MATCH($B32,Screener!$A$2:$A$13,0))),"",INDEX(Screener!$AH$2:$AH$13,MATCH($B32,Screener!$A$2:$A$13,0))),"")</f>
        <v/>
      </c>
      <c r="J32" s="19" t="str">
        <f aca="false">IFERROR(IF(ISBLANK(INDEX(Screener!$AE$2:$AE$13,MATCH($B32,Screener!$A$2:$A$13,0))),"",INDEX(Screener!$AE$2:$AE$13,MATCH($B32,Screener!$A$2:$A$13,0))),"")</f>
        <v/>
      </c>
      <c r="K32" s="19" t="str">
        <f aca="false">IFERROR(IF(ISBLANK(INDEX(Screener!$AF$2:$AF$13,MATCH($B32,Screener!$A$2:$A$13,0))),"",INDEX(Screener!$AF$2:$AF$13,MATCH($B32,Screener!$A$2:$A$13,0))),"")</f>
        <v/>
      </c>
      <c r="L32" s="19" t="str">
        <f aca="false">IFERROR(IF(ISBLANK(INDEX(Screener!$AG$2:$AG$13,MATCH($B32,Screener!$A$2:$A$13,0))),"",INDEX(Screener!$AG$2:$AG$13,MATCH($B32,Screener!$A$2:$A$13,0))),"")</f>
        <v/>
      </c>
      <c r="M32" s="10" t="str">
        <f aca="false">IFERROR(IF(ISBLANK(INDEX(Screener!$Q$2:$Q$13,MATCH($B32,Screener!$A$2:$A$13,0))),"",INDEX(Screener!$Q$2:$Q$13,MATCH($B32,Screener!$A$2:$A$13,0))),"")</f>
        <v/>
      </c>
      <c r="N32" s="17" t="str">
        <f aca="false">IFERROR(IF(ISBLANK(INDEX(Screener!$AI$2:$AI$13,MATCH($B32,Screener!$A$2:$A$13,0))),"",INDEX(Screener!$AI$2:$AI$13,MATCH($B32,Screener!$A$2:$A$13,0))),"")</f>
        <v/>
      </c>
    </row>
    <row r="33" customFormat="false" ht="15" hidden="false" customHeight="false" outlineLevel="0" collapsed="false">
      <c r="A33" s="15" t="n">
        <v>11</v>
      </c>
      <c r="B33" s="16"/>
      <c r="C33" s="17" t="str">
        <f aca="false">IFERROR(IF(ISBLANK(INDEX(Screener!$B$2:$B$13,MATCH($B33,Screener!$A$2:$A$13,0))),"",INDEX(Screener!$B$2:$B$13,MATCH($B33,Screener!$A$2:$A$13,0))),"")</f>
        <v/>
      </c>
      <c r="D33" s="17" t="str">
        <f aca="false">IFERROR(IF(ISBLANK(INDEX(Screener!$C$2:$C$13,MATCH($B33,Screener!$A$2:$A$13,0))),"",INDEX(Screener!$C$2:$C$13,MATCH($B33,Screener!$A$2:$A$13,0))),"")</f>
        <v/>
      </c>
      <c r="E33" s="17" t="str">
        <f aca="false">IFERROR(IF(ISBLANK(INDEX(Screener!$D$2:$D$13,MATCH($B33,Screener!$A$2:$A$13,0))),"",INDEX(Screener!$D$2:$D$13,MATCH($B33,Screener!$A$2:$A$13,0))),"")</f>
        <v/>
      </c>
      <c r="F33" s="18" t="str">
        <f aca="false">IFERROR(IF(ISBLANK(INDEX(Screener!$E$2:$E$13,MATCH($B33,Screener!$A$2:$A$13,0))),"",INDEX(Screener!$E$2:$E$13,MATCH($B33,Screener!$A$2:$A$13,0))),"")</f>
        <v/>
      </c>
      <c r="G33" s="18" t="str">
        <f aca="false">IFERROR(IF(ISBLANK(INDEX(Screener!$AB$2:$AB$13,MATCH($B33,Screener!$A$2:$A$13,0))),"",INDEX(Screener!$AB$2:$AB$13,MATCH($B33,Screener!$A$2:$A$13,0))),"")</f>
        <v/>
      </c>
      <c r="H33" s="13" t="str">
        <f aca="false">IFERROR(IF(ISBLANK(INDEX(Screener!$AC$2:$AC$13,MATCH($B33,Screener!$A$2:$A$13,0))),"",INDEX(Screener!$AC$2:$AC$13,MATCH($B33,Screener!$A$2:$A$13,0))),"")</f>
        <v/>
      </c>
      <c r="I33" s="19" t="str">
        <f aca="false">IFERROR(IF(ISBLANK(INDEX(Screener!$AH$2:$AH$13,MATCH($B33,Screener!$A$2:$A$13,0))),"",INDEX(Screener!$AH$2:$AH$13,MATCH($B33,Screener!$A$2:$A$13,0))),"")</f>
        <v/>
      </c>
      <c r="J33" s="19" t="str">
        <f aca="false">IFERROR(IF(ISBLANK(INDEX(Screener!$AE$2:$AE$13,MATCH($B33,Screener!$A$2:$A$13,0))),"",INDEX(Screener!$AE$2:$AE$13,MATCH($B33,Screener!$A$2:$A$13,0))),"")</f>
        <v/>
      </c>
      <c r="K33" s="19" t="str">
        <f aca="false">IFERROR(IF(ISBLANK(INDEX(Screener!$AF$2:$AF$13,MATCH($B33,Screener!$A$2:$A$13,0))),"",INDEX(Screener!$AF$2:$AF$13,MATCH($B33,Screener!$A$2:$A$13,0))),"")</f>
        <v/>
      </c>
      <c r="L33" s="19" t="str">
        <f aca="false">IFERROR(IF(ISBLANK(INDEX(Screener!$AG$2:$AG$13,MATCH($B33,Screener!$A$2:$A$13,0))),"",INDEX(Screener!$AG$2:$AG$13,MATCH($B33,Screener!$A$2:$A$13,0))),"")</f>
        <v/>
      </c>
      <c r="M33" s="10" t="str">
        <f aca="false">IFERROR(IF(ISBLANK(INDEX(Screener!$Q$2:$Q$13,MATCH($B33,Screener!$A$2:$A$13,0))),"",INDEX(Screener!$Q$2:$Q$13,MATCH($B33,Screener!$A$2:$A$13,0))),"")</f>
        <v/>
      </c>
      <c r="N33" s="17" t="str">
        <f aca="false">IFERROR(IF(ISBLANK(INDEX(Screener!$AI$2:$AI$13,MATCH($B33,Screener!$A$2:$A$13,0))),"",INDEX(Screener!$AI$2:$AI$13,MATCH($B33,Screener!$A$2:$A$13,0))),"")</f>
        <v/>
      </c>
    </row>
    <row r="34" customFormat="false" ht="15" hidden="false" customHeight="false" outlineLevel="0" collapsed="false">
      <c r="A34" s="15" t="n">
        <v>12</v>
      </c>
      <c r="B34" s="16"/>
      <c r="C34" s="17" t="str">
        <f aca="false">IFERROR(IF(ISBLANK(INDEX(Screener!$B$2:$B$13,MATCH($B34,Screener!$A$2:$A$13,0))),"",INDEX(Screener!$B$2:$B$13,MATCH($B34,Screener!$A$2:$A$13,0))),"")</f>
        <v/>
      </c>
      <c r="D34" s="17" t="str">
        <f aca="false">IFERROR(IF(ISBLANK(INDEX(Screener!$C$2:$C$13,MATCH($B34,Screener!$A$2:$A$13,0))),"",INDEX(Screener!$C$2:$C$13,MATCH($B34,Screener!$A$2:$A$13,0))),"")</f>
        <v/>
      </c>
      <c r="E34" s="17" t="str">
        <f aca="false">IFERROR(IF(ISBLANK(INDEX(Screener!$D$2:$D$13,MATCH($B34,Screener!$A$2:$A$13,0))),"",INDEX(Screener!$D$2:$D$13,MATCH($B34,Screener!$A$2:$A$13,0))),"")</f>
        <v/>
      </c>
      <c r="F34" s="18" t="str">
        <f aca="false">IFERROR(IF(ISBLANK(INDEX(Screener!$E$2:$E$13,MATCH($B34,Screener!$A$2:$A$13,0))),"",INDEX(Screener!$E$2:$E$13,MATCH($B34,Screener!$A$2:$A$13,0))),"")</f>
        <v/>
      </c>
      <c r="G34" s="18" t="str">
        <f aca="false">IFERROR(IF(ISBLANK(INDEX(Screener!$AB$2:$AB$13,MATCH($B34,Screener!$A$2:$A$13,0))),"",INDEX(Screener!$AB$2:$AB$13,MATCH($B34,Screener!$A$2:$A$13,0))),"")</f>
        <v/>
      </c>
      <c r="H34" s="13" t="str">
        <f aca="false">IFERROR(IF(ISBLANK(INDEX(Screener!$AC$2:$AC$13,MATCH($B34,Screener!$A$2:$A$13,0))),"",INDEX(Screener!$AC$2:$AC$13,MATCH($B34,Screener!$A$2:$A$13,0))),"")</f>
        <v/>
      </c>
      <c r="I34" s="19" t="str">
        <f aca="false">IFERROR(IF(ISBLANK(INDEX(Screener!$AH$2:$AH$13,MATCH($B34,Screener!$A$2:$A$13,0))),"",INDEX(Screener!$AH$2:$AH$13,MATCH($B34,Screener!$A$2:$A$13,0))),"")</f>
        <v/>
      </c>
      <c r="J34" s="19" t="str">
        <f aca="false">IFERROR(IF(ISBLANK(INDEX(Screener!$AE$2:$AE$13,MATCH($B34,Screener!$A$2:$A$13,0))),"",INDEX(Screener!$AE$2:$AE$13,MATCH($B34,Screener!$A$2:$A$13,0))),"")</f>
        <v/>
      </c>
      <c r="K34" s="19" t="str">
        <f aca="false">IFERROR(IF(ISBLANK(INDEX(Screener!$AF$2:$AF$13,MATCH($B34,Screener!$A$2:$A$13,0))),"",INDEX(Screener!$AF$2:$AF$13,MATCH($B34,Screener!$A$2:$A$13,0))),"")</f>
        <v/>
      </c>
      <c r="L34" s="19" t="str">
        <f aca="false">IFERROR(IF(ISBLANK(INDEX(Screener!$AG$2:$AG$13,MATCH($B34,Screener!$A$2:$A$13,0))),"",INDEX(Screener!$AG$2:$AG$13,MATCH($B34,Screener!$A$2:$A$13,0))),"")</f>
        <v/>
      </c>
      <c r="M34" s="10" t="str">
        <f aca="false">IFERROR(IF(ISBLANK(INDEX(Screener!$Q$2:$Q$13,MATCH($B34,Screener!$A$2:$A$13,0))),"",INDEX(Screener!$Q$2:$Q$13,MATCH($B34,Screener!$A$2:$A$13,0))),"")</f>
        <v/>
      </c>
      <c r="N34" s="17" t="str">
        <f aca="false">IFERROR(IF(ISBLANK(INDEX(Screener!$AI$2:$AI$13,MATCH($B34,Screener!$A$2:$A$13,0))),"",INDEX(Screener!$AI$2:$AI$13,MATCH($B34,Screener!$A$2:$A$13,0))),"")</f>
        <v/>
      </c>
    </row>
    <row r="35" customFormat="false" ht="15" hidden="false" customHeight="false" outlineLevel="0" collapsed="false">
      <c r="A35" s="15" t="n">
        <v>13</v>
      </c>
      <c r="B35" s="16"/>
      <c r="C35" s="17" t="str">
        <f aca="false">IFERROR(IF(ISBLANK(INDEX(Screener!$B$2:$B$13,MATCH($B35,Screener!$A$2:$A$13,0))),"",INDEX(Screener!$B$2:$B$13,MATCH($B35,Screener!$A$2:$A$13,0))),"")</f>
        <v/>
      </c>
      <c r="D35" s="17" t="str">
        <f aca="false">IFERROR(IF(ISBLANK(INDEX(Screener!$C$2:$C$13,MATCH($B35,Screener!$A$2:$A$13,0))),"",INDEX(Screener!$C$2:$C$13,MATCH($B35,Screener!$A$2:$A$13,0))),"")</f>
        <v/>
      </c>
      <c r="E35" s="17" t="str">
        <f aca="false">IFERROR(IF(ISBLANK(INDEX(Screener!$D$2:$D$13,MATCH($B35,Screener!$A$2:$A$13,0))),"",INDEX(Screener!$D$2:$D$13,MATCH($B35,Screener!$A$2:$A$13,0))),"")</f>
        <v/>
      </c>
      <c r="F35" s="18" t="str">
        <f aca="false">IFERROR(IF(ISBLANK(INDEX(Screener!$E$2:$E$13,MATCH($B35,Screener!$A$2:$A$13,0))),"",INDEX(Screener!$E$2:$E$13,MATCH($B35,Screener!$A$2:$A$13,0))),"")</f>
        <v/>
      </c>
      <c r="G35" s="18" t="str">
        <f aca="false">IFERROR(IF(ISBLANK(INDEX(Screener!$AB$2:$AB$13,MATCH($B35,Screener!$A$2:$A$13,0))),"",INDEX(Screener!$AB$2:$AB$13,MATCH($B35,Screener!$A$2:$A$13,0))),"")</f>
        <v/>
      </c>
      <c r="H35" s="13" t="str">
        <f aca="false">IFERROR(IF(ISBLANK(INDEX(Screener!$AC$2:$AC$13,MATCH($B35,Screener!$A$2:$A$13,0))),"",INDEX(Screener!$AC$2:$AC$13,MATCH($B35,Screener!$A$2:$A$13,0))),"")</f>
        <v/>
      </c>
      <c r="I35" s="19" t="str">
        <f aca="false">IFERROR(IF(ISBLANK(INDEX(Screener!$AH$2:$AH$13,MATCH($B35,Screener!$A$2:$A$13,0))),"",INDEX(Screener!$AH$2:$AH$13,MATCH($B35,Screener!$A$2:$A$13,0))),"")</f>
        <v/>
      </c>
      <c r="J35" s="19" t="str">
        <f aca="false">IFERROR(IF(ISBLANK(INDEX(Screener!$AE$2:$AE$13,MATCH($B35,Screener!$A$2:$A$13,0))),"",INDEX(Screener!$AE$2:$AE$13,MATCH($B35,Screener!$A$2:$A$13,0))),"")</f>
        <v/>
      </c>
      <c r="K35" s="19" t="str">
        <f aca="false">IFERROR(IF(ISBLANK(INDEX(Screener!$AF$2:$AF$13,MATCH($B35,Screener!$A$2:$A$13,0))),"",INDEX(Screener!$AF$2:$AF$13,MATCH($B35,Screener!$A$2:$A$13,0))),"")</f>
        <v/>
      </c>
      <c r="L35" s="19" t="str">
        <f aca="false">IFERROR(IF(ISBLANK(INDEX(Screener!$AG$2:$AG$13,MATCH($B35,Screener!$A$2:$A$13,0))),"",INDEX(Screener!$AG$2:$AG$13,MATCH($B35,Screener!$A$2:$A$13,0))),"")</f>
        <v/>
      </c>
      <c r="M35" s="10" t="str">
        <f aca="false">IFERROR(IF(ISBLANK(INDEX(Screener!$Q$2:$Q$13,MATCH($B35,Screener!$A$2:$A$13,0))),"",INDEX(Screener!$Q$2:$Q$13,MATCH($B35,Screener!$A$2:$A$13,0))),"")</f>
        <v/>
      </c>
      <c r="N35" s="17" t="str">
        <f aca="false">IFERROR(IF(ISBLANK(INDEX(Screener!$AI$2:$AI$13,MATCH($B35,Screener!$A$2:$A$13,0))),"",INDEX(Screener!$AI$2:$AI$13,MATCH($B35,Screener!$A$2:$A$13,0))),"")</f>
        <v/>
      </c>
    </row>
    <row r="36" customFormat="false" ht="15" hidden="false" customHeight="false" outlineLevel="0" collapsed="false">
      <c r="A36" s="15" t="n">
        <v>14</v>
      </c>
      <c r="B36" s="16"/>
      <c r="C36" s="17" t="str">
        <f aca="false">IFERROR(IF(ISBLANK(INDEX(Screener!$B$2:$B$13,MATCH($B36,Screener!$A$2:$A$13,0))),"",INDEX(Screener!$B$2:$B$13,MATCH($B36,Screener!$A$2:$A$13,0))),"")</f>
        <v/>
      </c>
      <c r="D36" s="17" t="str">
        <f aca="false">IFERROR(IF(ISBLANK(INDEX(Screener!$C$2:$C$13,MATCH($B36,Screener!$A$2:$A$13,0))),"",INDEX(Screener!$C$2:$C$13,MATCH($B36,Screener!$A$2:$A$13,0))),"")</f>
        <v/>
      </c>
      <c r="E36" s="17" t="str">
        <f aca="false">IFERROR(IF(ISBLANK(INDEX(Screener!$D$2:$D$13,MATCH($B36,Screener!$A$2:$A$13,0))),"",INDEX(Screener!$D$2:$D$13,MATCH($B36,Screener!$A$2:$A$13,0))),"")</f>
        <v/>
      </c>
      <c r="F36" s="18" t="str">
        <f aca="false">IFERROR(IF(ISBLANK(INDEX(Screener!$E$2:$E$13,MATCH($B36,Screener!$A$2:$A$13,0))),"",INDEX(Screener!$E$2:$E$13,MATCH($B36,Screener!$A$2:$A$13,0))),"")</f>
        <v/>
      </c>
      <c r="G36" s="18" t="str">
        <f aca="false">IFERROR(IF(ISBLANK(INDEX(Screener!$AB$2:$AB$13,MATCH($B36,Screener!$A$2:$A$13,0))),"",INDEX(Screener!$AB$2:$AB$13,MATCH($B36,Screener!$A$2:$A$13,0))),"")</f>
        <v/>
      </c>
      <c r="H36" s="13" t="str">
        <f aca="false">IFERROR(IF(ISBLANK(INDEX(Screener!$AC$2:$AC$13,MATCH($B36,Screener!$A$2:$A$13,0))),"",INDEX(Screener!$AC$2:$AC$13,MATCH($B36,Screener!$A$2:$A$13,0))),"")</f>
        <v/>
      </c>
      <c r="I36" s="19" t="str">
        <f aca="false">IFERROR(IF(ISBLANK(INDEX(Screener!$AH$2:$AH$13,MATCH($B36,Screener!$A$2:$A$13,0))),"",INDEX(Screener!$AH$2:$AH$13,MATCH($B36,Screener!$A$2:$A$13,0))),"")</f>
        <v/>
      </c>
      <c r="J36" s="19" t="str">
        <f aca="false">IFERROR(IF(ISBLANK(INDEX(Screener!$AE$2:$AE$13,MATCH($B36,Screener!$A$2:$A$13,0))),"",INDEX(Screener!$AE$2:$AE$13,MATCH($B36,Screener!$A$2:$A$13,0))),"")</f>
        <v/>
      </c>
      <c r="K36" s="19" t="str">
        <f aca="false">IFERROR(IF(ISBLANK(INDEX(Screener!$AF$2:$AF$13,MATCH($B36,Screener!$A$2:$A$13,0))),"",INDEX(Screener!$AF$2:$AF$13,MATCH($B36,Screener!$A$2:$A$13,0))),"")</f>
        <v/>
      </c>
      <c r="L36" s="19" t="str">
        <f aca="false">IFERROR(IF(ISBLANK(INDEX(Screener!$AG$2:$AG$13,MATCH($B36,Screener!$A$2:$A$13,0))),"",INDEX(Screener!$AG$2:$AG$13,MATCH($B36,Screener!$A$2:$A$13,0))),"")</f>
        <v/>
      </c>
      <c r="M36" s="10" t="str">
        <f aca="false">IFERROR(IF(ISBLANK(INDEX(Screener!$Q$2:$Q$13,MATCH($B36,Screener!$A$2:$A$13,0))),"",INDEX(Screener!$Q$2:$Q$13,MATCH($B36,Screener!$A$2:$A$13,0))),"")</f>
        <v/>
      </c>
      <c r="N36" s="17" t="str">
        <f aca="false">IFERROR(IF(ISBLANK(INDEX(Screener!$AI$2:$AI$13,MATCH($B36,Screener!$A$2:$A$13,0))),"",INDEX(Screener!$AI$2:$AI$13,MATCH($B36,Screener!$A$2:$A$13,0))),"")</f>
        <v/>
      </c>
    </row>
    <row r="37" customFormat="false" ht="15" hidden="false" customHeight="false" outlineLevel="0" collapsed="false">
      <c r="A37" s="15" t="n">
        <v>15</v>
      </c>
      <c r="B37" s="16"/>
      <c r="C37" s="17" t="str">
        <f aca="false">IFERROR(IF(ISBLANK(INDEX(Screener!$B$2:$B$13,MATCH($B37,Screener!$A$2:$A$13,0))),"",INDEX(Screener!$B$2:$B$13,MATCH($B37,Screener!$A$2:$A$13,0))),"")</f>
        <v/>
      </c>
      <c r="D37" s="17" t="str">
        <f aca="false">IFERROR(IF(ISBLANK(INDEX(Screener!$C$2:$C$13,MATCH($B37,Screener!$A$2:$A$13,0))),"",INDEX(Screener!$C$2:$C$13,MATCH($B37,Screener!$A$2:$A$13,0))),"")</f>
        <v/>
      </c>
      <c r="E37" s="17" t="str">
        <f aca="false">IFERROR(IF(ISBLANK(INDEX(Screener!$D$2:$D$13,MATCH($B37,Screener!$A$2:$A$13,0))),"",INDEX(Screener!$D$2:$D$13,MATCH($B37,Screener!$A$2:$A$13,0))),"")</f>
        <v/>
      </c>
      <c r="F37" s="18" t="str">
        <f aca="false">IFERROR(IF(ISBLANK(INDEX(Screener!$E$2:$E$13,MATCH($B37,Screener!$A$2:$A$13,0))),"",INDEX(Screener!$E$2:$E$13,MATCH($B37,Screener!$A$2:$A$13,0))),"")</f>
        <v/>
      </c>
      <c r="G37" s="18" t="str">
        <f aca="false">IFERROR(IF(ISBLANK(INDEX(Screener!$AB$2:$AB$13,MATCH($B37,Screener!$A$2:$A$13,0))),"",INDEX(Screener!$AB$2:$AB$13,MATCH($B37,Screener!$A$2:$A$13,0))),"")</f>
        <v/>
      </c>
      <c r="H37" s="13" t="str">
        <f aca="false">IFERROR(IF(ISBLANK(INDEX(Screener!$AC$2:$AC$13,MATCH($B37,Screener!$A$2:$A$13,0))),"",INDEX(Screener!$AC$2:$AC$13,MATCH($B37,Screener!$A$2:$A$13,0))),"")</f>
        <v/>
      </c>
      <c r="I37" s="19" t="str">
        <f aca="false">IFERROR(IF(ISBLANK(INDEX(Screener!$AH$2:$AH$13,MATCH($B37,Screener!$A$2:$A$13,0))),"",INDEX(Screener!$AH$2:$AH$13,MATCH($B37,Screener!$A$2:$A$13,0))),"")</f>
        <v/>
      </c>
      <c r="J37" s="19" t="str">
        <f aca="false">IFERROR(IF(ISBLANK(INDEX(Screener!$AE$2:$AE$13,MATCH($B37,Screener!$A$2:$A$13,0))),"",INDEX(Screener!$AE$2:$AE$13,MATCH($B37,Screener!$A$2:$A$13,0))),"")</f>
        <v/>
      </c>
      <c r="K37" s="19" t="str">
        <f aca="false">IFERROR(IF(ISBLANK(INDEX(Screener!$AF$2:$AF$13,MATCH($B37,Screener!$A$2:$A$13,0))),"",INDEX(Screener!$AF$2:$AF$13,MATCH($B37,Screener!$A$2:$A$13,0))),"")</f>
        <v/>
      </c>
      <c r="L37" s="19" t="str">
        <f aca="false">IFERROR(IF(ISBLANK(INDEX(Screener!$AG$2:$AG$13,MATCH($B37,Screener!$A$2:$A$13,0))),"",INDEX(Screener!$AG$2:$AG$13,MATCH($B37,Screener!$A$2:$A$13,0))),"")</f>
        <v/>
      </c>
      <c r="M37" s="10" t="str">
        <f aca="false">IFERROR(IF(ISBLANK(INDEX(Screener!$Q$2:$Q$13,MATCH($B37,Screener!$A$2:$A$13,0))),"",INDEX(Screener!$Q$2:$Q$13,MATCH($B37,Screener!$A$2:$A$13,0))),"")</f>
        <v/>
      </c>
      <c r="N37" s="17" t="str">
        <f aca="false">IFERROR(IF(ISBLANK(INDEX(Screener!$AI$2:$AI$13,MATCH($B37,Screener!$A$2:$A$13,0))),"",INDEX(Screener!$AI$2:$AI$13,MATCH($B37,Screener!$A$2:$A$13,0))),"")</f>
        <v/>
      </c>
    </row>
    <row r="39" customFormat="false" ht="15" hidden="false" customHeight="false" outlineLevel="0" collapsed="false">
      <c r="A39" s="7" t="s">
        <v>39</v>
      </c>
    </row>
    <row r="40" customFormat="false" ht="35.05" hidden="false" customHeight="false" outlineLevel="0" collapsed="false">
      <c r="A40" s="8" t="s">
        <v>26</v>
      </c>
      <c r="B40" s="8" t="s">
        <v>27</v>
      </c>
      <c r="C40" s="8" t="s">
        <v>28</v>
      </c>
      <c r="D40" s="8" t="s">
        <v>29</v>
      </c>
      <c r="E40" s="8" t="s">
        <v>40</v>
      </c>
      <c r="F40" s="8" t="s">
        <v>41</v>
      </c>
      <c r="G40" s="8" t="s">
        <v>42</v>
      </c>
      <c r="H40" s="8" t="s">
        <v>37</v>
      </c>
      <c r="I40" s="8" t="s">
        <v>43</v>
      </c>
      <c r="J40" s="8" t="s">
        <v>34</v>
      </c>
      <c r="K40" s="8" t="s">
        <v>9</v>
      </c>
    </row>
    <row r="41" customFormat="false" ht="15" hidden="false" customHeight="false" outlineLevel="0" collapsed="false">
      <c r="A41" s="15" t="n">
        <v>1</v>
      </c>
      <c r="B41" s="16" t="s">
        <v>44</v>
      </c>
      <c r="C41" s="17" t="str">
        <f aca="false">IFERROR(IF(ISBLANK(INDEX(Screener!$B$2:$B$13,MATCH($B41,Screener!$A$2:$A$13,0))),"",INDEX(Screener!$B$2:$B$13,MATCH($B41,Screener!$A$2:$A$13,0))),"")</f>
        <v>Astra Agro Lestari Tbk.</v>
      </c>
      <c r="D41" s="17" t="str">
        <f aca="false">IFERROR(IF(ISBLANK(INDEX(Screener!$C$2:$C$13,MATCH($B41,Screener!$A$2:$A$13,0))),"",INDEX(Screener!$C$2:$C$13,MATCH($B41,Screener!$A$2:$A$13,0))),"")</f>
        <v>Consumer Non-Cyclicals</v>
      </c>
      <c r="E41" s="12" t="n">
        <f aca="false">IFERROR(IF(ISBLANK(INDEX(Screener!$I$2:$I$13,MATCH($B41,Screener!$A$2:$A$13,0))),"",INDEX(Screener!$I$2:$I$13,MATCH($B41,Screener!$A$2:$A$13,0))),"")</f>
        <v>3.34355904544451</v>
      </c>
      <c r="F41" s="13" t="n">
        <f aca="false">IFERROR(IF(ISBLANK(INDEX(Screener!$O$2:$O$13,MATCH($B41,Screener!$A$2:$A$13,0))),"",INDEX(Screener!$O$2:$O$13,MATCH($B41,Screener!$A$2:$A$13,0))),"")</f>
        <v>0.29908250053561</v>
      </c>
      <c r="G41" s="13" t="n">
        <f aca="false">IFERROR(IF(ISBLANK(INDEX(Screener!$N$2:$N$13,MATCH($B41,Screener!$A$2:$A$13,0))),"",INDEX(Screener!$N$2:$N$13,MATCH($B41,Screener!$A$2:$A$13,0))),"")</f>
        <v>0.140091279165906</v>
      </c>
      <c r="H41" s="10" t="n">
        <f aca="false">IFERROR(IF(ISBLANK(INDEX(Screener!$Q$2:$Q$13,MATCH($B41,Screener!$A$2:$A$13,0))),"",INDEX(Screener!$Q$2:$Q$13,MATCH($B41,Screener!$A$2:$A$13,0))),"")</f>
        <v>7</v>
      </c>
      <c r="I41" s="19" t="n">
        <f aca="false">IFERROR(IF(ISBLANK(INDEX(Screener!$R$2:$R$13,MATCH($B41,Screener!$A$2:$A$13,0))),"",INDEX(Screener!$R$2:$R$13,MATCH($B41,Screener!$A$2:$A$13,0))),"")</f>
        <v>10.4940987900542</v>
      </c>
      <c r="J41" s="19" t="n">
        <f aca="false">IFERROR(IF(ISBLANK(INDEX(Screener!$AH$2:$AH$13,MATCH($B41,Screener!$A$2:$A$13,0))),"",INDEX(Screener!$AH$2:$AH$13,MATCH($B41,Screener!$A$2:$A$13,0))),"")</f>
        <v>83</v>
      </c>
      <c r="K41" s="17" t="str">
        <f aca="false">IFERROR(IF(ISBLANK(INDEX(Screener!$AI$2:$AI$13,MATCH($B41,Screener!$A$2:$A$13,0))),"",INDEX(Screener!$AI$2:$AI$13,MATCH($B41,Screener!$A$2:$A$13,0))),"")</f>
        <v>WATCH</v>
      </c>
    </row>
    <row r="42" customFormat="false" ht="15" hidden="false" customHeight="false" outlineLevel="0" collapsed="false">
      <c r="A42" s="15" t="n">
        <v>2</v>
      </c>
      <c r="B42" s="16" t="s">
        <v>45</v>
      </c>
      <c r="C42" s="17" t="str">
        <f aca="false">IFERROR(IF(ISBLANK(INDEX(Screener!$B$2:$B$13,MATCH($B42,Screener!$A$2:$A$13,0))),"",INDEX(Screener!$B$2:$B$13,MATCH($B42,Screener!$A$2:$A$13,0))),"")</f>
        <v>Indo Tambangraya Megah Tbk.</v>
      </c>
      <c r="D42" s="17" t="str">
        <f aca="false">IFERROR(IF(ISBLANK(INDEX(Screener!$C$2:$C$13,MATCH($B42,Screener!$A$2:$A$13,0))),"",INDEX(Screener!$C$2:$C$13,MATCH($B42,Screener!$A$2:$A$13,0))),"")</f>
        <v>Energy</v>
      </c>
      <c r="E42" s="12" t="n">
        <f aca="false">IFERROR(IF(ISBLANK(INDEX(Screener!$I$2:$I$13,MATCH($B42,Screener!$A$2:$A$13,0))),"",INDEX(Screener!$I$2:$I$13,MATCH($B42,Screener!$A$2:$A$13,0))),"")</f>
        <v>5.34918565140985</v>
      </c>
      <c r="F42" s="13" t="n">
        <f aca="false">IFERROR(IF(ISBLANK(INDEX(Screener!$O$2:$O$13,MATCH($B42,Screener!$A$2:$A$13,0))),"",INDEX(Screener!$O$2:$O$13,MATCH($B42,Screener!$A$2:$A$13,0))),"")</f>
        <v>0.186944343525717</v>
      </c>
      <c r="G42" s="13" t="n">
        <f aca="false">IFERROR(IF(ISBLANK(INDEX(Screener!$N$2:$N$13,MATCH($B42,Screener!$A$2:$A$13,0))),"",INDEX(Screener!$N$2:$N$13,MATCH($B42,Screener!$A$2:$A$13,0))),"")</f>
        <v>0.221642365753753</v>
      </c>
      <c r="H42" s="10" t="n">
        <f aca="false">IFERROR(IF(ISBLANK(INDEX(Screener!$Q$2:$Q$13,MATCH($B42,Screener!$A$2:$A$13,0))),"",INDEX(Screener!$Q$2:$Q$13,MATCH($B42,Screener!$A$2:$A$13,0))),"")</f>
        <v>3</v>
      </c>
      <c r="I42" s="19" t="n">
        <f aca="false">IFERROR(IF(ISBLANK(INDEX(Screener!$R$2:$R$13,MATCH($B42,Screener!$A$2:$A$13,0))),"",INDEX(Screener!$R$2:$R$13,MATCH($B42,Screener!$A$2:$A$13,0))),"")</f>
        <v>9.4828366478951</v>
      </c>
      <c r="J42" s="19" t="n">
        <f aca="false">IFERROR(IF(ISBLANK(INDEX(Screener!$AH$2:$AH$13,MATCH($B42,Screener!$A$2:$A$13,0))),"",INDEX(Screener!$AH$2:$AH$13,MATCH($B42,Screener!$A$2:$A$13,0))),"")</f>
        <v>75.2</v>
      </c>
      <c r="K42" s="17" t="str">
        <f aca="false">IFERROR(IF(ISBLANK(INDEX(Screener!$AI$2:$AI$13,MATCH($B42,Screener!$A$2:$A$13,0))),"",INDEX(Screener!$AI$2:$AI$13,MATCH($B42,Screener!$A$2:$A$13,0))),"")</f>
        <v>WATCH</v>
      </c>
    </row>
    <row r="43" customFormat="false" ht="15" hidden="false" customHeight="false" outlineLevel="0" collapsed="false">
      <c r="A43" s="15" t="n">
        <v>3</v>
      </c>
      <c r="B43" s="16" t="s">
        <v>46</v>
      </c>
      <c r="C43" s="17" t="str">
        <f aca="false">IFERROR(IF(ISBLANK(INDEX(Screener!$B$2:$B$13,MATCH($B43,Screener!$A$2:$A$13,0))),"",INDEX(Screener!$B$2:$B$13,MATCH($B43,Screener!$A$2:$A$13,0))),"")</f>
        <v>Bukit Asam Tbk.</v>
      </c>
      <c r="D43" s="17" t="str">
        <f aca="false">IFERROR(IF(ISBLANK(INDEX(Screener!$C$2:$C$13,MATCH($B43,Screener!$A$2:$A$13,0))),"",INDEX(Screener!$C$2:$C$13,MATCH($B43,Screener!$A$2:$A$13,0))),"")</f>
        <v>Energy</v>
      </c>
      <c r="E43" s="12" t="n">
        <f aca="false">IFERROR(IF(ISBLANK(INDEX(Screener!$I$2:$I$13,MATCH($B43,Screener!$A$2:$A$13,0))),"",INDEX(Screener!$I$2:$I$13,MATCH($B43,Screener!$A$2:$A$13,0))),"")</f>
        <v>6.02326094968346</v>
      </c>
      <c r="F43" s="13" t="n">
        <f aca="false">IFERROR(IF(ISBLANK(INDEX(Screener!$O$2:$O$13,MATCH($B43,Screener!$A$2:$A$13,0))),"",INDEX(Screener!$O$2:$O$13,MATCH($B43,Screener!$A$2:$A$13,0))),"")</f>
        <v>0.166023024463609</v>
      </c>
      <c r="G43" s="13" t="n">
        <f aca="false">IFERROR(IF(ISBLANK(INDEX(Screener!$N$2:$N$13,MATCH($B43,Screener!$A$2:$A$13,0))),"",INDEX(Screener!$N$2:$N$13,MATCH($B43,Screener!$A$2:$A$13,0))),"")</f>
        <v>0.140292980195781</v>
      </c>
      <c r="H43" s="10" t="n">
        <f aca="false">IFERROR(IF(ISBLANK(INDEX(Screener!$Q$2:$Q$13,MATCH($B43,Screener!$A$2:$A$13,0))),"",INDEX(Screener!$Q$2:$Q$13,MATCH($B43,Screener!$A$2:$A$13,0))),"")</f>
        <v>2</v>
      </c>
      <c r="I43" s="19" t="n">
        <f aca="false">IFERROR(IF(ISBLANK(INDEX(Screener!$R$2:$R$13,MATCH($B43,Screener!$A$2:$A$13,0))),"",INDEX(Screener!$R$2:$R$13,MATCH($B43,Screener!$A$2:$A$13,0))),"")</f>
        <v>2.8353029930305</v>
      </c>
      <c r="J43" s="19" t="n">
        <f aca="false">IFERROR(IF(ISBLANK(INDEX(Screener!$AH$2:$AH$13,MATCH($B43,Screener!$A$2:$A$13,0))),"",INDEX(Screener!$AH$2:$AH$13,MATCH($B43,Screener!$A$2:$A$13,0))),"")</f>
        <v>72.2</v>
      </c>
      <c r="K43" s="17" t="str">
        <f aca="false">IFERROR(IF(ISBLANK(INDEX(Screener!$AI$2:$AI$13,MATCH($B43,Screener!$A$2:$A$13,0))),"",INDEX(Screener!$AI$2:$AI$13,MATCH($B43,Screener!$A$2:$A$13,0))),"")</f>
        <v>WATCH</v>
      </c>
    </row>
    <row r="44" customFormat="false" ht="15" hidden="false" customHeight="false" outlineLevel="0" collapsed="false">
      <c r="A44" s="15" t="n">
        <v>4</v>
      </c>
      <c r="B44" s="16" t="s">
        <v>47</v>
      </c>
      <c r="C44" s="17" t="str">
        <f aca="false">IFERROR(IF(ISBLANK(INDEX(Screener!$B$2:$B$13,MATCH($B44,Screener!$A$2:$A$13,0))),"",INDEX(Screener!$B$2:$B$13,MATCH($B44,Screener!$A$2:$A$13,0))),"")</f>
        <v>Alamtri Resources Indonesia Tbk.</v>
      </c>
      <c r="D44" s="17" t="str">
        <f aca="false">IFERROR(IF(ISBLANK(INDEX(Screener!$C$2:$C$13,MATCH($B44,Screener!$A$2:$A$13,0))),"",INDEX(Screener!$C$2:$C$13,MATCH($B44,Screener!$A$2:$A$13,0))),"")</f>
        <v>Energy</v>
      </c>
      <c r="E44" s="12" t="n">
        <f aca="false">IFERROR(IF(ISBLANK(INDEX(Screener!$I$2:$I$13,MATCH($B44,Screener!$A$2:$A$13,0))),"",INDEX(Screener!$I$2:$I$13,MATCH($B44,Screener!$A$2:$A$13,0))),"")</f>
        <v>6.47667967861175</v>
      </c>
      <c r="F44" s="13" t="n">
        <f aca="false">IFERROR(IF(ISBLANK(INDEX(Screener!$O$2:$O$13,MATCH($B44,Screener!$A$2:$A$13,0))),"",INDEX(Screener!$O$2:$O$13,MATCH($B44,Screener!$A$2:$A$13,0))),"")</f>
        <v>0.154400101536957</v>
      </c>
      <c r="G44" s="13" t="n">
        <f aca="false">IFERROR(IF(ISBLANK(INDEX(Screener!$N$2:$N$13,MATCH($B44,Screener!$A$2:$A$13,0))),"",INDEX(Screener!$N$2:$N$13,MATCH($B44,Screener!$A$2:$A$13,0))),"")</f>
        <v>0.115995157987041</v>
      </c>
      <c r="H44" s="10" t="n">
        <f aca="false">IFERROR(IF(ISBLANK(INDEX(Screener!$Q$2:$Q$13,MATCH($B44,Screener!$A$2:$A$13,0))),"",INDEX(Screener!$Q$2:$Q$13,MATCH($B44,Screener!$A$2:$A$13,0))),"")</f>
        <v>2</v>
      </c>
      <c r="I44" s="19" t="n">
        <f aca="false">IFERROR(IF(ISBLANK(INDEX(Screener!$R$2:$R$13,MATCH($B44,Screener!$A$2:$A$13,0))),"",INDEX(Screener!$R$2:$R$13,MATCH($B44,Screener!$A$2:$A$13,0))),"")</f>
        <v>6.81474473603233</v>
      </c>
      <c r="J44" s="19" t="n">
        <f aca="false">IFERROR(IF(ISBLANK(INDEX(Screener!$AH$2:$AH$13,MATCH($B44,Screener!$A$2:$A$13,0))),"",INDEX(Screener!$AH$2:$AH$13,MATCH($B44,Screener!$A$2:$A$13,0))),"")</f>
        <v>68.3</v>
      </c>
      <c r="K44" s="17" t="str">
        <f aca="false">IFERROR(IF(ISBLANK(INDEX(Screener!$AI$2:$AI$13,MATCH($B44,Screener!$A$2:$A$13,0))),"",INDEX(Screener!$AI$2:$AI$13,MATCH($B44,Screener!$A$2:$A$13,0))),"")</f>
        <v>WATCH</v>
      </c>
    </row>
    <row r="45" customFormat="false" ht="15" hidden="false" customHeight="false" outlineLevel="0" collapsed="false">
      <c r="A45" s="15" t="n">
        <v>5</v>
      </c>
      <c r="B45" s="16" t="s">
        <v>48</v>
      </c>
      <c r="C45" s="17" t="str">
        <f aca="false">IFERROR(IF(ISBLANK(INDEX(Screener!$B$2:$B$13,MATCH($B45,Screener!$A$2:$A$13,0))),"",INDEX(Screener!$B$2:$B$13,MATCH($B45,Screener!$A$2:$A$13,0))),"")</f>
        <v>Gudang Garam Tbk.</v>
      </c>
      <c r="D45" s="17" t="str">
        <f aca="false">IFERROR(IF(ISBLANK(INDEX(Screener!$C$2:$C$13,MATCH($B45,Screener!$A$2:$A$13,0))),"",INDEX(Screener!$C$2:$C$13,MATCH($B45,Screener!$A$2:$A$13,0))),"")</f>
        <v>Consumer Non-Cyclicals</v>
      </c>
      <c r="E45" s="12" t="n">
        <f aca="false">IFERROR(IF(ISBLANK(INDEX(Screener!$I$2:$I$13,MATCH($B45,Screener!$A$2:$A$13,0))),"",INDEX(Screener!$I$2:$I$13,MATCH($B45,Screener!$A$2:$A$13,0))),"")</f>
        <v>6.55947176680997</v>
      </c>
      <c r="F45" s="13" t="n">
        <f aca="false">IFERROR(IF(ISBLANK(INDEX(Screener!$O$2:$O$13,MATCH($B45,Screener!$A$2:$A$13,0))),"",INDEX(Screener!$O$2:$O$13,MATCH($B45,Screener!$A$2:$A$13,0))),"")</f>
        <v>0.15245130027998</v>
      </c>
      <c r="G45" s="13" t="n">
        <f aca="false">IFERROR(IF(ISBLANK(INDEX(Screener!$N$2:$N$13,MATCH($B45,Screener!$A$2:$A$13,0))),"",INDEX(Screener!$N$2:$N$13,MATCH($B45,Screener!$A$2:$A$13,0))),"")</f>
        <v>0.0879732423978567</v>
      </c>
      <c r="H45" s="10" t="n">
        <f aca="false">IFERROR(IF(ISBLANK(INDEX(Screener!$Q$2:$Q$13,MATCH($B45,Screener!$A$2:$A$13,0))),"",INDEX(Screener!$Q$2:$Q$13,MATCH($B45,Screener!$A$2:$A$13,0))),"")</f>
        <v>7</v>
      </c>
      <c r="I45" s="19" t="n">
        <f aca="false">IFERROR(IF(ISBLANK(INDEX(Screener!$R$2:$R$13,MATCH($B45,Screener!$A$2:$A$13,0))),"",INDEX(Screener!$R$2:$R$13,MATCH($B45,Screener!$A$2:$A$13,0))),"")</f>
        <v>10.5703697469141</v>
      </c>
      <c r="J45" s="19" t="n">
        <f aca="false">IFERROR(IF(ISBLANK(INDEX(Screener!$AH$2:$AH$13,MATCH($B45,Screener!$A$2:$A$13,0))),"",INDEX(Screener!$AH$2:$AH$13,MATCH($B45,Screener!$A$2:$A$13,0))),"")</f>
        <v>65.9</v>
      </c>
      <c r="K45" s="17" t="str">
        <f aca="false">IFERROR(IF(ISBLANK(INDEX(Screener!$AI$2:$AI$13,MATCH($B45,Screener!$A$2:$A$13,0))),"",INDEX(Screener!$AI$2:$AI$13,MATCH($B45,Screener!$A$2:$A$13,0))),"")</f>
        <v>SKIP</v>
      </c>
    </row>
    <row r="46" customFormat="false" ht="15" hidden="false" customHeight="false" outlineLevel="0" collapsed="false">
      <c r="A46" s="15" t="n">
        <v>6</v>
      </c>
      <c r="B46" s="16" t="s">
        <v>49</v>
      </c>
      <c r="C46" s="17" t="str">
        <f aca="false">IFERROR(IF(ISBLANK(INDEX(Screener!$B$2:$B$13,MATCH($B46,Screener!$A$2:$A$13,0))),"",INDEX(Screener!$B$2:$B$13,MATCH($B46,Screener!$A$2:$A$13,0))),"")</f>
        <v>Astra International Tbk.</v>
      </c>
      <c r="D46" s="17" t="str">
        <f aca="false">IFERROR(IF(ISBLANK(INDEX(Screener!$C$2:$C$13,MATCH($B46,Screener!$A$2:$A$13,0))),"",INDEX(Screener!$C$2:$C$13,MATCH($B46,Screener!$A$2:$A$13,0))),"")</f>
        <v>Industrials</v>
      </c>
      <c r="E46" s="12" t="n">
        <f aca="false">IFERROR(IF(ISBLANK(INDEX(Screener!$I$2:$I$13,MATCH($B46,Screener!$A$2:$A$13,0))),"",INDEX(Screener!$I$2:$I$13,MATCH($B46,Screener!$A$2:$A$13,0))),"")</f>
        <v>7.2353754663565</v>
      </c>
      <c r="F46" s="13" t="n">
        <f aca="false">IFERROR(IF(ISBLANK(INDEX(Screener!$O$2:$O$13,MATCH($B46,Screener!$A$2:$A$13,0))),"",INDEX(Screener!$O$2:$O$13,MATCH($B46,Screener!$A$2:$A$13,0))),"")</f>
        <v>0.138209828176832</v>
      </c>
      <c r="G46" s="13" t="n">
        <f aca="false">IFERROR(IF(ISBLANK(INDEX(Screener!$N$2:$N$13,MATCH($B46,Screener!$A$2:$A$13,0))),"",INDEX(Screener!$N$2:$N$13,MATCH($B46,Screener!$A$2:$A$13,0))),"")</f>
        <v>0.140603310278631</v>
      </c>
      <c r="H46" s="10" t="n">
        <f aca="false">IFERROR(IF(ISBLANK(INDEX(Screener!$Q$2:$Q$13,MATCH($B46,Screener!$A$2:$A$13,0))),"",INDEX(Screener!$Q$2:$Q$13,MATCH($B46,Screener!$A$2:$A$13,0))),"")</f>
        <v>3</v>
      </c>
      <c r="I46" s="19" t="n">
        <f aca="false">IFERROR(IF(ISBLANK(INDEX(Screener!$R$2:$R$13,MATCH($B46,Screener!$A$2:$A$13,0))),"",INDEX(Screener!$R$2:$R$13,MATCH($B46,Screener!$A$2:$A$13,0))),"")</f>
        <v>3.44111877086024</v>
      </c>
      <c r="J46" s="19" t="n">
        <f aca="false">IFERROR(IF(ISBLANK(INDEX(Screener!$AH$2:$AH$13,MATCH($B46,Screener!$A$2:$A$13,0))),"",INDEX(Screener!$AH$2:$AH$13,MATCH($B46,Screener!$A$2:$A$13,0))),"")</f>
        <v>67.6</v>
      </c>
      <c r="K46" s="17" t="str">
        <f aca="false">IFERROR(IF(ISBLANK(INDEX(Screener!$AI$2:$AI$13,MATCH($B46,Screener!$A$2:$A$13,0))),"",INDEX(Screener!$AI$2:$AI$13,MATCH($B46,Screener!$A$2:$A$13,0))),"")</f>
        <v>WATCH</v>
      </c>
    </row>
    <row r="47" customFormat="false" ht="15" hidden="false" customHeight="false" outlineLevel="0" collapsed="false">
      <c r="A47" s="15" t="n">
        <v>7</v>
      </c>
      <c r="B47" s="16" t="s">
        <v>50</v>
      </c>
      <c r="C47" s="17" t="str">
        <f aca="false">IFERROR(IF(ISBLANK(INDEX(Screener!$B$2:$B$13,MATCH($B47,Screener!$A$2:$A$13,0))),"",INDEX(Screener!$B$2:$B$13,MATCH($B47,Screener!$A$2:$A$13,0))),"")</f>
        <v>Telkom Indonesia (Persero) Tbk.</v>
      </c>
      <c r="D47" s="17" t="str">
        <f aca="false">IFERROR(IF(ISBLANK(INDEX(Screener!$C$2:$C$13,MATCH($B47,Screener!$A$2:$A$13,0))),"",INDEX(Screener!$C$2:$C$13,MATCH($B47,Screener!$A$2:$A$13,0))),"")</f>
        <v>Infrastructures</v>
      </c>
      <c r="E47" s="12" t="n">
        <f aca="false">IFERROR(IF(ISBLANK(INDEX(Screener!$I$2:$I$13,MATCH($B47,Screener!$A$2:$A$13,0))),"",INDEX(Screener!$I$2:$I$13,MATCH($B47,Screener!$A$2:$A$13,0))),"")</f>
        <v>8.60294220509757</v>
      </c>
      <c r="F47" s="13" t="n">
        <f aca="false">IFERROR(IF(ISBLANK(INDEX(Screener!$O$2:$O$13,MATCH($B47,Screener!$A$2:$A$13,0))),"",INDEX(Screener!$O$2:$O$13,MATCH($B47,Screener!$A$2:$A$13,0))),"")</f>
        <v>0.116239302340944</v>
      </c>
      <c r="G47" s="13" t="n">
        <f aca="false">IFERROR(IF(ISBLANK(INDEX(Screener!$N$2:$N$13,MATCH($B47,Screener!$A$2:$A$13,0))),"",INDEX(Screener!$N$2:$N$13,MATCH($B47,Screener!$A$2:$A$13,0))),"")</f>
        <v>0.161193761112737</v>
      </c>
      <c r="H47" s="10" t="n">
        <f aca="false">IFERROR(IF(ISBLANK(INDEX(Screener!$Q$2:$Q$13,MATCH($B47,Screener!$A$2:$A$13,0))),"",INDEX(Screener!$Q$2:$Q$13,MATCH($B47,Screener!$A$2:$A$13,0))),"")</f>
        <v>3</v>
      </c>
      <c r="I47" s="19" t="n">
        <f aca="false">IFERROR(IF(ISBLANK(INDEX(Screener!$R$2:$R$13,MATCH($B47,Screener!$A$2:$A$13,0))),"",INDEX(Screener!$R$2:$R$13,MATCH($B47,Screener!$A$2:$A$13,0))),"")</f>
        <v>1.99891761988693</v>
      </c>
      <c r="J47" s="19" t="n">
        <f aca="false">IFERROR(IF(ISBLANK(INDEX(Screener!$AH$2:$AH$13,MATCH($B47,Screener!$A$2:$A$13,0))),"",INDEX(Screener!$AH$2:$AH$13,MATCH($B47,Screener!$A$2:$A$13,0))),"")</f>
        <v>67.9</v>
      </c>
      <c r="K47" s="17" t="str">
        <f aca="false">IFERROR(IF(ISBLANK(INDEX(Screener!$AI$2:$AI$13,MATCH($B47,Screener!$A$2:$A$13,0))),"",INDEX(Screener!$AI$2:$AI$13,MATCH($B47,Screener!$A$2:$A$13,0))),"")</f>
        <v>SKIP</v>
      </c>
    </row>
    <row r="48" customFormat="false" ht="15" hidden="false" customHeight="false" outlineLevel="0" collapsed="false">
      <c r="A48" s="15" t="n">
        <v>8</v>
      </c>
      <c r="B48" s="16" t="s">
        <v>51</v>
      </c>
      <c r="C48" s="17" t="str">
        <f aca="false">IFERROR(IF(ISBLANK(INDEX(Screener!$B$2:$B$13,MATCH($B48,Screener!$A$2:$A$13,0))),"",INDEX(Screener!$B$2:$B$13,MATCH($B48,Screener!$A$2:$A$13,0))),"")</f>
        <v>Unilever Indonesia Tbk.</v>
      </c>
      <c r="D48" s="17" t="str">
        <f aca="false">IFERROR(IF(ISBLANK(INDEX(Screener!$C$2:$C$13,MATCH($B48,Screener!$A$2:$A$13,0))),"",INDEX(Screener!$C$2:$C$13,MATCH($B48,Screener!$A$2:$A$13,0))),"")</f>
        <v>Consumer Non-Cyclicals</v>
      </c>
      <c r="E48" s="12" t="n">
        <f aca="false">IFERROR(IF(ISBLANK(INDEX(Screener!$I$2:$I$13,MATCH($B48,Screener!$A$2:$A$13,0))),"",INDEX(Screener!$I$2:$I$13,MATCH($B48,Screener!$A$2:$A$13,0))),"")</f>
        <v>16.577290002485</v>
      </c>
      <c r="F48" s="13" t="n">
        <f aca="false">IFERROR(IF(ISBLANK(INDEX(Screener!$O$2:$O$13,MATCH($B48,Screener!$A$2:$A$13,0))),"",INDEX(Screener!$O$2:$O$13,MATCH($B48,Screener!$A$2:$A$13,0))),"")</f>
        <v>0.0603234907424612</v>
      </c>
      <c r="G48" s="13" t="n">
        <f aca="false">IFERROR(IF(ISBLANK(INDEX(Screener!$N$2:$N$13,MATCH($B48,Screener!$A$2:$A$13,0))),"",INDEX(Screener!$N$2:$N$13,MATCH($B48,Screener!$A$2:$A$13,0))),"")</f>
        <v>0.427285198050828</v>
      </c>
      <c r="H48" s="10" t="n">
        <f aca="false">IFERROR(IF(ISBLANK(INDEX(Screener!$Q$2:$Q$13,MATCH($B48,Screener!$A$2:$A$13,0))),"",INDEX(Screener!$Q$2:$Q$13,MATCH($B48,Screener!$A$2:$A$13,0))),"")</f>
        <v>5</v>
      </c>
      <c r="I48" s="19" t="n">
        <f aca="false">IFERROR(IF(ISBLANK(INDEX(Screener!$R$2:$R$13,MATCH($B48,Screener!$A$2:$A$13,0))),"",INDEX(Screener!$R$2:$R$13,MATCH($B48,Screener!$A$2:$A$13,0))),"")</f>
        <v>0.475639744198858</v>
      </c>
      <c r="J48" s="19" t="n">
        <f aca="false">IFERROR(IF(ISBLANK(INDEX(Screener!$AH$2:$AH$13,MATCH($B48,Screener!$A$2:$A$13,0))),"",INDEX(Screener!$AH$2:$AH$13,MATCH($B48,Screener!$A$2:$A$13,0))),"")</f>
        <v>60.5</v>
      </c>
      <c r="K48" s="17" t="str">
        <f aca="false">IFERROR(IF(ISBLANK(INDEX(Screener!$AI$2:$AI$13,MATCH($B48,Screener!$A$2:$A$13,0))),"",INDEX(Screener!$AI$2:$AI$13,MATCH($B48,Screener!$A$2:$A$13,0))),"")</f>
        <v>SKIP</v>
      </c>
    </row>
    <row r="49" customFormat="false" ht="15" hidden="false" customHeight="false" outlineLevel="0" collapsed="false">
      <c r="A49" s="15" t="n">
        <v>9</v>
      </c>
      <c r="B49" s="16"/>
      <c r="C49" s="17" t="str">
        <f aca="false">IFERROR(IF(ISBLANK(INDEX(Screener!$B$2:$B$13,MATCH($B49,Screener!$A$2:$A$13,0))),"",INDEX(Screener!$B$2:$B$13,MATCH($B49,Screener!$A$2:$A$13,0))),"")</f>
        <v/>
      </c>
      <c r="D49" s="17" t="str">
        <f aca="false">IFERROR(IF(ISBLANK(INDEX(Screener!$C$2:$C$13,MATCH($B49,Screener!$A$2:$A$13,0))),"",INDEX(Screener!$C$2:$C$13,MATCH($B49,Screener!$A$2:$A$13,0))),"")</f>
        <v/>
      </c>
      <c r="E49" s="12" t="str">
        <f aca="false">IFERROR(IF(ISBLANK(INDEX(Screener!$I$2:$I$13,MATCH($B49,Screener!$A$2:$A$13,0))),"",INDEX(Screener!$I$2:$I$13,MATCH($B49,Screener!$A$2:$A$13,0))),"")</f>
        <v/>
      </c>
      <c r="F49" s="13" t="str">
        <f aca="false">IFERROR(IF(ISBLANK(INDEX(Screener!$O$2:$O$13,MATCH($B49,Screener!$A$2:$A$13,0))),"",INDEX(Screener!$O$2:$O$13,MATCH($B49,Screener!$A$2:$A$13,0))),"")</f>
        <v/>
      </c>
      <c r="G49" s="13" t="str">
        <f aca="false">IFERROR(IF(ISBLANK(INDEX(Screener!$N$2:$N$13,MATCH($B49,Screener!$A$2:$A$13,0))),"",INDEX(Screener!$N$2:$N$13,MATCH($B49,Screener!$A$2:$A$13,0))),"")</f>
        <v/>
      </c>
      <c r="H49" s="10" t="str">
        <f aca="false">IFERROR(IF(ISBLANK(INDEX(Screener!$Q$2:$Q$13,MATCH($B49,Screener!$A$2:$A$13,0))),"",INDEX(Screener!$Q$2:$Q$13,MATCH($B49,Screener!$A$2:$A$13,0))),"")</f>
        <v/>
      </c>
      <c r="I49" s="19" t="str">
        <f aca="false">IFERROR(IF(ISBLANK(INDEX(Screener!$R$2:$R$13,MATCH($B49,Screener!$A$2:$A$13,0))),"",INDEX(Screener!$R$2:$R$13,MATCH($B49,Screener!$A$2:$A$13,0))),"")</f>
        <v/>
      </c>
      <c r="J49" s="19" t="str">
        <f aca="false">IFERROR(IF(ISBLANK(INDEX(Screener!$AH$2:$AH$13,MATCH($B49,Screener!$A$2:$A$13,0))),"",INDEX(Screener!$AH$2:$AH$13,MATCH($B49,Screener!$A$2:$A$13,0))),"")</f>
        <v/>
      </c>
      <c r="K49" s="17" t="str">
        <f aca="false">IFERROR(IF(ISBLANK(INDEX(Screener!$AI$2:$AI$13,MATCH($B49,Screener!$A$2:$A$13,0))),"",INDEX(Screener!$AI$2:$AI$13,MATCH($B49,Screener!$A$2:$A$13,0))),"")</f>
        <v/>
      </c>
    </row>
    <row r="50" customFormat="false" ht="15" hidden="false" customHeight="false" outlineLevel="0" collapsed="false">
      <c r="A50" s="15" t="n">
        <v>10</v>
      </c>
      <c r="B50" s="16"/>
      <c r="C50" s="17" t="str">
        <f aca="false">IFERROR(IF(ISBLANK(INDEX(Screener!$B$2:$B$13,MATCH($B50,Screener!$A$2:$A$13,0))),"",INDEX(Screener!$B$2:$B$13,MATCH($B50,Screener!$A$2:$A$13,0))),"")</f>
        <v/>
      </c>
      <c r="D50" s="17" t="str">
        <f aca="false">IFERROR(IF(ISBLANK(INDEX(Screener!$C$2:$C$13,MATCH($B50,Screener!$A$2:$A$13,0))),"",INDEX(Screener!$C$2:$C$13,MATCH($B50,Screener!$A$2:$A$13,0))),"")</f>
        <v/>
      </c>
      <c r="E50" s="12" t="str">
        <f aca="false">IFERROR(IF(ISBLANK(INDEX(Screener!$I$2:$I$13,MATCH($B50,Screener!$A$2:$A$13,0))),"",INDEX(Screener!$I$2:$I$13,MATCH($B50,Screener!$A$2:$A$13,0))),"")</f>
        <v/>
      </c>
      <c r="F50" s="13" t="str">
        <f aca="false">IFERROR(IF(ISBLANK(INDEX(Screener!$O$2:$O$13,MATCH($B50,Screener!$A$2:$A$13,0))),"",INDEX(Screener!$O$2:$O$13,MATCH($B50,Screener!$A$2:$A$13,0))),"")</f>
        <v/>
      </c>
      <c r="G50" s="13" t="str">
        <f aca="false">IFERROR(IF(ISBLANK(INDEX(Screener!$N$2:$N$13,MATCH($B50,Screener!$A$2:$A$13,0))),"",INDEX(Screener!$N$2:$N$13,MATCH($B50,Screener!$A$2:$A$13,0))),"")</f>
        <v/>
      </c>
      <c r="H50" s="10" t="str">
        <f aca="false">IFERROR(IF(ISBLANK(INDEX(Screener!$Q$2:$Q$13,MATCH($B50,Screener!$A$2:$A$13,0))),"",INDEX(Screener!$Q$2:$Q$13,MATCH($B50,Screener!$A$2:$A$13,0))),"")</f>
        <v/>
      </c>
      <c r="I50" s="19" t="str">
        <f aca="false">IFERROR(IF(ISBLANK(INDEX(Screener!$R$2:$R$13,MATCH($B50,Screener!$A$2:$A$13,0))),"",INDEX(Screener!$R$2:$R$13,MATCH($B50,Screener!$A$2:$A$13,0))),"")</f>
        <v/>
      </c>
      <c r="J50" s="19" t="str">
        <f aca="false">IFERROR(IF(ISBLANK(INDEX(Screener!$AH$2:$AH$13,MATCH($B50,Screener!$A$2:$A$13,0))),"",INDEX(Screener!$AH$2:$AH$13,MATCH($B50,Screener!$A$2:$A$13,0))),"")</f>
        <v/>
      </c>
      <c r="K50" s="17" t="str">
        <f aca="false">IFERROR(IF(ISBLANK(INDEX(Screener!$AI$2:$AI$13,MATCH($B50,Screener!$A$2:$A$13,0))),"",INDEX(Screener!$AI$2:$AI$13,MATCH($B50,Screener!$A$2:$A$13,0))),"")</f>
        <v/>
      </c>
    </row>
    <row r="52" customFormat="false" ht="15" hidden="false" customHeight="false" outlineLevel="0" collapsed="false">
      <c r="A52" s="7" t="s">
        <v>52</v>
      </c>
    </row>
    <row r="53" customFormat="false" ht="35.05" hidden="false" customHeight="false" outlineLevel="0" collapsed="false">
      <c r="A53" s="8" t="s">
        <v>26</v>
      </c>
      <c r="B53" s="8" t="s">
        <v>27</v>
      </c>
      <c r="C53" s="8" t="s">
        <v>28</v>
      </c>
      <c r="D53" s="8" t="s">
        <v>29</v>
      </c>
      <c r="E53" s="8" t="s">
        <v>31</v>
      </c>
      <c r="F53" s="8" t="s">
        <v>53</v>
      </c>
      <c r="G53" s="8" t="s">
        <v>54</v>
      </c>
      <c r="H53" s="8" t="s">
        <v>55</v>
      </c>
      <c r="I53" s="8" t="s">
        <v>37</v>
      </c>
      <c r="J53" s="8" t="s">
        <v>34</v>
      </c>
      <c r="K53" s="8" t="s">
        <v>9</v>
      </c>
    </row>
    <row r="54" customFormat="false" ht="15" hidden="false" customHeight="false" outlineLevel="0" collapsed="false">
      <c r="A54" s="15" t="n">
        <v>1</v>
      </c>
      <c r="B54" s="16"/>
      <c r="C54" s="17" t="str">
        <f aca="false">IFERROR(IF(ISBLANK(INDEX(Screener!$B$2:$B$13,MATCH($B54,Screener!$A$2:$A$13,0))),"",INDEX(Screener!$B$2:$B$13,MATCH($B54,Screener!$A$2:$A$13,0))),"")</f>
        <v/>
      </c>
      <c r="D54" s="17" t="str">
        <f aca="false">IFERROR(IF(ISBLANK(INDEX(Screener!$C$2:$C$13,MATCH($B54,Screener!$A$2:$A$13,0))),"",INDEX(Screener!$C$2:$C$13,MATCH($B54,Screener!$A$2:$A$13,0))),"")</f>
        <v/>
      </c>
      <c r="E54" s="18" t="str">
        <f aca="false">IFERROR(IF(ISBLANK(INDEX(Screener!$E$2:$E$13,MATCH($B54,Screener!$A$2:$A$13,0))),"",INDEX(Screener!$E$2:$E$13,MATCH($B54,Screener!$A$2:$A$13,0))),"")</f>
        <v/>
      </c>
      <c r="F54" s="18" t="str">
        <f aca="false">IFERROR(IF(ISBLANK(INDEX(Screener!$V$2:$V$13,MATCH($B54,Screener!$A$2:$A$13,0))),"",INDEX(Screener!$V$2:$V$13,MATCH($B54,Screener!$A$2:$A$13,0))),"")</f>
        <v/>
      </c>
      <c r="G54" s="12" t="str">
        <f aca="false">IF(AND(ISNUMBER($E54),ISNUMBER($F54),$F54&lt;&gt;0),$E54/$F54,"")</f>
        <v/>
      </c>
      <c r="H54" s="20" t="str">
        <f aca="false">IFERROR(IF(ISBLANK(INDEX(Screener!$F$2:$F$13,MATCH($B54,Screener!$A$2:$A$13,0))),"",INDEX(Screener!$F$2:$F$13,MATCH($B54,Screener!$A$2:$A$13,0))),"")</f>
        <v/>
      </c>
      <c r="I54" s="10" t="str">
        <f aca="false">IFERROR(IF(ISBLANK(INDEX(Screener!$Q$2:$Q$13,MATCH($B54,Screener!$A$2:$A$13,0))),"",INDEX(Screener!$Q$2:$Q$13,MATCH($B54,Screener!$A$2:$A$13,0))),"")</f>
        <v/>
      </c>
      <c r="J54" s="19" t="str">
        <f aca="false">IFERROR(IF(ISBLANK(INDEX(Screener!$AH$2:$AH$13,MATCH($B54,Screener!$A$2:$A$13,0))),"",INDEX(Screener!$AH$2:$AH$13,MATCH($B54,Screener!$A$2:$A$13,0))),"")</f>
        <v/>
      </c>
      <c r="K54" s="17" t="str">
        <f aca="false">IFERROR(IF(ISBLANK(INDEX(Screener!$AI$2:$AI$13,MATCH($B54,Screener!$A$2:$A$13,0))),"",INDEX(Screener!$AI$2:$AI$13,MATCH($B54,Screener!$A$2:$A$13,0))),"")</f>
        <v/>
      </c>
    </row>
    <row r="55" customFormat="false" ht="15" hidden="false" customHeight="false" outlineLevel="0" collapsed="false">
      <c r="A55" s="15" t="n">
        <v>2</v>
      </c>
      <c r="B55" s="16"/>
      <c r="C55" s="17" t="str">
        <f aca="false">IFERROR(IF(ISBLANK(INDEX(Screener!$B$2:$B$13,MATCH($B55,Screener!$A$2:$A$13,0))),"",INDEX(Screener!$B$2:$B$13,MATCH($B55,Screener!$A$2:$A$13,0))),"")</f>
        <v/>
      </c>
      <c r="D55" s="17" t="str">
        <f aca="false">IFERROR(IF(ISBLANK(INDEX(Screener!$C$2:$C$13,MATCH($B55,Screener!$A$2:$A$13,0))),"",INDEX(Screener!$C$2:$C$13,MATCH($B55,Screener!$A$2:$A$13,0))),"")</f>
        <v/>
      </c>
      <c r="E55" s="18" t="str">
        <f aca="false">IFERROR(IF(ISBLANK(INDEX(Screener!$E$2:$E$13,MATCH($B55,Screener!$A$2:$A$13,0))),"",INDEX(Screener!$E$2:$E$13,MATCH($B55,Screener!$A$2:$A$13,0))),"")</f>
        <v/>
      </c>
      <c r="F55" s="18" t="str">
        <f aca="false">IFERROR(IF(ISBLANK(INDEX(Screener!$V$2:$V$13,MATCH($B55,Screener!$A$2:$A$13,0))),"",INDEX(Screener!$V$2:$V$13,MATCH($B55,Screener!$A$2:$A$13,0))),"")</f>
        <v/>
      </c>
      <c r="G55" s="12" t="str">
        <f aca="false">IF(AND(ISNUMBER($E55),ISNUMBER($F55),$F55&lt;&gt;0),$E55/$F55,"")</f>
        <v/>
      </c>
      <c r="H55" s="20" t="str">
        <f aca="false">IFERROR(IF(ISBLANK(INDEX(Screener!$F$2:$F$13,MATCH($B55,Screener!$A$2:$A$13,0))),"",INDEX(Screener!$F$2:$F$13,MATCH($B55,Screener!$A$2:$A$13,0))),"")</f>
        <v/>
      </c>
      <c r="I55" s="10" t="str">
        <f aca="false">IFERROR(IF(ISBLANK(INDEX(Screener!$Q$2:$Q$13,MATCH($B55,Screener!$A$2:$A$13,0))),"",INDEX(Screener!$Q$2:$Q$13,MATCH($B55,Screener!$A$2:$A$13,0))),"")</f>
        <v/>
      </c>
      <c r="J55" s="19" t="str">
        <f aca="false">IFERROR(IF(ISBLANK(INDEX(Screener!$AH$2:$AH$13,MATCH($B55,Screener!$A$2:$A$13,0))),"",INDEX(Screener!$AH$2:$AH$13,MATCH($B55,Screener!$A$2:$A$13,0))),"")</f>
        <v/>
      </c>
      <c r="K55" s="17" t="str">
        <f aca="false">IFERROR(IF(ISBLANK(INDEX(Screener!$AI$2:$AI$13,MATCH($B55,Screener!$A$2:$A$13,0))),"",INDEX(Screener!$AI$2:$AI$13,MATCH($B55,Screener!$A$2:$A$13,0))),"")</f>
        <v/>
      </c>
    </row>
    <row r="56" customFormat="false" ht="15" hidden="false" customHeight="false" outlineLevel="0" collapsed="false">
      <c r="A56" s="15" t="n">
        <v>3</v>
      </c>
      <c r="B56" s="16"/>
      <c r="C56" s="17" t="str">
        <f aca="false">IFERROR(IF(ISBLANK(INDEX(Screener!$B$2:$B$13,MATCH($B56,Screener!$A$2:$A$13,0))),"",INDEX(Screener!$B$2:$B$13,MATCH($B56,Screener!$A$2:$A$13,0))),"")</f>
        <v/>
      </c>
      <c r="D56" s="17" t="str">
        <f aca="false">IFERROR(IF(ISBLANK(INDEX(Screener!$C$2:$C$13,MATCH($B56,Screener!$A$2:$A$13,0))),"",INDEX(Screener!$C$2:$C$13,MATCH($B56,Screener!$A$2:$A$13,0))),"")</f>
        <v/>
      </c>
      <c r="E56" s="18" t="str">
        <f aca="false">IFERROR(IF(ISBLANK(INDEX(Screener!$E$2:$E$13,MATCH($B56,Screener!$A$2:$A$13,0))),"",INDEX(Screener!$E$2:$E$13,MATCH($B56,Screener!$A$2:$A$13,0))),"")</f>
        <v/>
      </c>
      <c r="F56" s="18" t="str">
        <f aca="false">IFERROR(IF(ISBLANK(INDEX(Screener!$V$2:$V$13,MATCH($B56,Screener!$A$2:$A$13,0))),"",INDEX(Screener!$V$2:$V$13,MATCH($B56,Screener!$A$2:$A$13,0))),"")</f>
        <v/>
      </c>
      <c r="G56" s="12" t="str">
        <f aca="false">IF(AND(ISNUMBER($E56),ISNUMBER($F56),$F56&lt;&gt;0),$E56/$F56,"")</f>
        <v/>
      </c>
      <c r="H56" s="20" t="str">
        <f aca="false">IFERROR(IF(ISBLANK(INDEX(Screener!$F$2:$F$13,MATCH($B56,Screener!$A$2:$A$13,0))),"",INDEX(Screener!$F$2:$F$13,MATCH($B56,Screener!$A$2:$A$13,0))),"")</f>
        <v/>
      </c>
      <c r="I56" s="10" t="str">
        <f aca="false">IFERROR(IF(ISBLANK(INDEX(Screener!$Q$2:$Q$13,MATCH($B56,Screener!$A$2:$A$13,0))),"",INDEX(Screener!$Q$2:$Q$13,MATCH($B56,Screener!$A$2:$A$13,0))),"")</f>
        <v/>
      </c>
      <c r="J56" s="19" t="str">
        <f aca="false">IFERROR(IF(ISBLANK(INDEX(Screener!$AH$2:$AH$13,MATCH($B56,Screener!$A$2:$A$13,0))),"",INDEX(Screener!$AH$2:$AH$13,MATCH($B56,Screener!$A$2:$A$13,0))),"")</f>
        <v/>
      </c>
      <c r="K56" s="17" t="str">
        <f aca="false">IFERROR(IF(ISBLANK(INDEX(Screener!$AI$2:$AI$13,MATCH($B56,Screener!$A$2:$A$13,0))),"",INDEX(Screener!$AI$2:$AI$13,MATCH($B56,Screener!$A$2:$A$13,0))),"")</f>
        <v/>
      </c>
    </row>
    <row r="57" customFormat="false" ht="15" hidden="false" customHeight="false" outlineLevel="0" collapsed="false">
      <c r="A57" s="15" t="n">
        <v>4</v>
      </c>
      <c r="B57" s="16"/>
      <c r="C57" s="17" t="str">
        <f aca="false">IFERROR(IF(ISBLANK(INDEX(Screener!$B$2:$B$13,MATCH($B57,Screener!$A$2:$A$13,0))),"",INDEX(Screener!$B$2:$B$13,MATCH($B57,Screener!$A$2:$A$13,0))),"")</f>
        <v/>
      </c>
      <c r="D57" s="17" t="str">
        <f aca="false">IFERROR(IF(ISBLANK(INDEX(Screener!$C$2:$C$13,MATCH($B57,Screener!$A$2:$A$13,0))),"",INDEX(Screener!$C$2:$C$13,MATCH($B57,Screener!$A$2:$A$13,0))),"")</f>
        <v/>
      </c>
      <c r="E57" s="18" t="str">
        <f aca="false">IFERROR(IF(ISBLANK(INDEX(Screener!$E$2:$E$13,MATCH($B57,Screener!$A$2:$A$13,0))),"",INDEX(Screener!$E$2:$E$13,MATCH($B57,Screener!$A$2:$A$13,0))),"")</f>
        <v/>
      </c>
      <c r="F57" s="18" t="str">
        <f aca="false">IFERROR(IF(ISBLANK(INDEX(Screener!$V$2:$V$13,MATCH($B57,Screener!$A$2:$A$13,0))),"",INDEX(Screener!$V$2:$V$13,MATCH($B57,Screener!$A$2:$A$13,0))),"")</f>
        <v/>
      </c>
      <c r="G57" s="12" t="str">
        <f aca="false">IF(AND(ISNUMBER($E57),ISNUMBER($F57),$F57&lt;&gt;0),$E57/$F57,"")</f>
        <v/>
      </c>
      <c r="H57" s="20" t="str">
        <f aca="false">IFERROR(IF(ISBLANK(INDEX(Screener!$F$2:$F$13,MATCH($B57,Screener!$A$2:$A$13,0))),"",INDEX(Screener!$F$2:$F$13,MATCH($B57,Screener!$A$2:$A$13,0))),"")</f>
        <v/>
      </c>
      <c r="I57" s="10" t="str">
        <f aca="false">IFERROR(IF(ISBLANK(INDEX(Screener!$Q$2:$Q$13,MATCH($B57,Screener!$A$2:$A$13,0))),"",INDEX(Screener!$Q$2:$Q$13,MATCH($B57,Screener!$A$2:$A$13,0))),"")</f>
        <v/>
      </c>
      <c r="J57" s="19" t="str">
        <f aca="false">IFERROR(IF(ISBLANK(INDEX(Screener!$AH$2:$AH$13,MATCH($B57,Screener!$A$2:$A$13,0))),"",INDEX(Screener!$AH$2:$AH$13,MATCH($B57,Screener!$A$2:$A$13,0))),"")</f>
        <v/>
      </c>
      <c r="K57" s="17" t="str">
        <f aca="false">IFERROR(IF(ISBLANK(INDEX(Screener!$AI$2:$AI$13,MATCH($B57,Screener!$A$2:$A$13,0))),"",INDEX(Screener!$AI$2:$AI$13,MATCH($B57,Screener!$A$2:$A$13,0))),"")</f>
        <v/>
      </c>
    </row>
    <row r="58" customFormat="false" ht="15" hidden="false" customHeight="false" outlineLevel="0" collapsed="false">
      <c r="A58" s="15" t="n">
        <v>5</v>
      </c>
      <c r="B58" s="16"/>
      <c r="C58" s="17" t="str">
        <f aca="false">IFERROR(IF(ISBLANK(INDEX(Screener!$B$2:$B$13,MATCH($B58,Screener!$A$2:$A$13,0))),"",INDEX(Screener!$B$2:$B$13,MATCH($B58,Screener!$A$2:$A$13,0))),"")</f>
        <v/>
      </c>
      <c r="D58" s="17" t="str">
        <f aca="false">IFERROR(IF(ISBLANK(INDEX(Screener!$C$2:$C$13,MATCH($B58,Screener!$A$2:$A$13,0))),"",INDEX(Screener!$C$2:$C$13,MATCH($B58,Screener!$A$2:$A$13,0))),"")</f>
        <v/>
      </c>
      <c r="E58" s="18" t="str">
        <f aca="false">IFERROR(IF(ISBLANK(INDEX(Screener!$E$2:$E$13,MATCH($B58,Screener!$A$2:$A$13,0))),"",INDEX(Screener!$E$2:$E$13,MATCH($B58,Screener!$A$2:$A$13,0))),"")</f>
        <v/>
      </c>
      <c r="F58" s="18" t="str">
        <f aca="false">IFERROR(IF(ISBLANK(INDEX(Screener!$V$2:$V$13,MATCH($B58,Screener!$A$2:$A$13,0))),"",INDEX(Screener!$V$2:$V$13,MATCH($B58,Screener!$A$2:$A$13,0))),"")</f>
        <v/>
      </c>
      <c r="G58" s="12" t="str">
        <f aca="false">IF(AND(ISNUMBER($E58),ISNUMBER($F58),$F58&lt;&gt;0),$E58/$F58,"")</f>
        <v/>
      </c>
      <c r="H58" s="20" t="str">
        <f aca="false">IFERROR(IF(ISBLANK(INDEX(Screener!$F$2:$F$13,MATCH($B58,Screener!$A$2:$A$13,0))),"",INDEX(Screener!$F$2:$F$13,MATCH($B58,Screener!$A$2:$A$13,0))),"")</f>
        <v/>
      </c>
      <c r="I58" s="10" t="str">
        <f aca="false">IFERROR(IF(ISBLANK(INDEX(Screener!$Q$2:$Q$13,MATCH($B58,Screener!$A$2:$A$13,0))),"",INDEX(Screener!$Q$2:$Q$13,MATCH($B58,Screener!$A$2:$A$13,0))),"")</f>
        <v/>
      </c>
      <c r="J58" s="19" t="str">
        <f aca="false">IFERROR(IF(ISBLANK(INDEX(Screener!$AH$2:$AH$13,MATCH($B58,Screener!$A$2:$A$13,0))),"",INDEX(Screener!$AH$2:$AH$13,MATCH($B58,Screener!$A$2:$A$13,0))),"")</f>
        <v/>
      </c>
      <c r="K58" s="17" t="str">
        <f aca="false">IFERROR(IF(ISBLANK(INDEX(Screener!$AI$2:$AI$13,MATCH($B58,Screener!$A$2:$A$13,0))),"",INDEX(Screener!$AI$2:$AI$13,MATCH($B58,Screener!$A$2:$A$13,0))),"")</f>
        <v/>
      </c>
    </row>
    <row r="59" customFormat="false" ht="15" hidden="false" customHeight="false" outlineLevel="0" collapsed="false">
      <c r="A59" s="15" t="n">
        <v>6</v>
      </c>
      <c r="B59" s="16"/>
      <c r="C59" s="17" t="str">
        <f aca="false">IFERROR(IF(ISBLANK(INDEX(Screener!$B$2:$B$13,MATCH($B59,Screener!$A$2:$A$13,0))),"",INDEX(Screener!$B$2:$B$13,MATCH($B59,Screener!$A$2:$A$13,0))),"")</f>
        <v/>
      </c>
      <c r="D59" s="17" t="str">
        <f aca="false">IFERROR(IF(ISBLANK(INDEX(Screener!$C$2:$C$13,MATCH($B59,Screener!$A$2:$A$13,0))),"",INDEX(Screener!$C$2:$C$13,MATCH($B59,Screener!$A$2:$A$13,0))),"")</f>
        <v/>
      </c>
      <c r="E59" s="18" t="str">
        <f aca="false">IFERROR(IF(ISBLANK(INDEX(Screener!$E$2:$E$13,MATCH($B59,Screener!$A$2:$A$13,0))),"",INDEX(Screener!$E$2:$E$13,MATCH($B59,Screener!$A$2:$A$13,0))),"")</f>
        <v/>
      </c>
      <c r="F59" s="18" t="str">
        <f aca="false">IFERROR(IF(ISBLANK(INDEX(Screener!$V$2:$V$13,MATCH($B59,Screener!$A$2:$A$13,0))),"",INDEX(Screener!$V$2:$V$13,MATCH($B59,Screener!$A$2:$A$13,0))),"")</f>
        <v/>
      </c>
      <c r="G59" s="12" t="str">
        <f aca="false">IF(AND(ISNUMBER($E59),ISNUMBER($F59),$F59&lt;&gt;0),$E59/$F59,"")</f>
        <v/>
      </c>
      <c r="H59" s="20" t="str">
        <f aca="false">IFERROR(IF(ISBLANK(INDEX(Screener!$F$2:$F$13,MATCH($B59,Screener!$A$2:$A$13,0))),"",INDEX(Screener!$F$2:$F$13,MATCH($B59,Screener!$A$2:$A$13,0))),"")</f>
        <v/>
      </c>
      <c r="I59" s="10" t="str">
        <f aca="false">IFERROR(IF(ISBLANK(INDEX(Screener!$Q$2:$Q$13,MATCH($B59,Screener!$A$2:$A$13,0))),"",INDEX(Screener!$Q$2:$Q$13,MATCH($B59,Screener!$A$2:$A$13,0))),"")</f>
        <v/>
      </c>
      <c r="J59" s="19" t="str">
        <f aca="false">IFERROR(IF(ISBLANK(INDEX(Screener!$AH$2:$AH$13,MATCH($B59,Screener!$A$2:$A$13,0))),"",INDEX(Screener!$AH$2:$AH$13,MATCH($B59,Screener!$A$2:$A$13,0))),"")</f>
        <v/>
      </c>
      <c r="K59" s="17" t="str">
        <f aca="false">IFERROR(IF(ISBLANK(INDEX(Screener!$AI$2:$AI$13,MATCH($B59,Screener!$A$2:$A$13,0))),"",INDEX(Screener!$AI$2:$AI$13,MATCH($B59,Screener!$A$2:$A$13,0))),"")</f>
        <v/>
      </c>
    </row>
    <row r="60" customFormat="false" ht="15" hidden="false" customHeight="false" outlineLevel="0" collapsed="false">
      <c r="A60" s="15" t="n">
        <v>7</v>
      </c>
      <c r="B60" s="16"/>
      <c r="C60" s="17" t="str">
        <f aca="false">IFERROR(IF(ISBLANK(INDEX(Screener!$B$2:$B$13,MATCH($B60,Screener!$A$2:$A$13,0))),"",INDEX(Screener!$B$2:$B$13,MATCH($B60,Screener!$A$2:$A$13,0))),"")</f>
        <v/>
      </c>
      <c r="D60" s="17" t="str">
        <f aca="false">IFERROR(IF(ISBLANK(INDEX(Screener!$C$2:$C$13,MATCH($B60,Screener!$A$2:$A$13,0))),"",INDEX(Screener!$C$2:$C$13,MATCH($B60,Screener!$A$2:$A$13,0))),"")</f>
        <v/>
      </c>
      <c r="E60" s="18" t="str">
        <f aca="false">IFERROR(IF(ISBLANK(INDEX(Screener!$E$2:$E$13,MATCH($B60,Screener!$A$2:$A$13,0))),"",INDEX(Screener!$E$2:$E$13,MATCH($B60,Screener!$A$2:$A$13,0))),"")</f>
        <v/>
      </c>
      <c r="F60" s="18" t="str">
        <f aca="false">IFERROR(IF(ISBLANK(INDEX(Screener!$V$2:$V$13,MATCH($B60,Screener!$A$2:$A$13,0))),"",INDEX(Screener!$V$2:$V$13,MATCH($B60,Screener!$A$2:$A$13,0))),"")</f>
        <v/>
      </c>
      <c r="G60" s="12" t="str">
        <f aca="false">IF(AND(ISNUMBER($E60),ISNUMBER($F60),$F60&lt;&gt;0),$E60/$F60,"")</f>
        <v/>
      </c>
      <c r="H60" s="20" t="str">
        <f aca="false">IFERROR(IF(ISBLANK(INDEX(Screener!$F$2:$F$13,MATCH($B60,Screener!$A$2:$A$13,0))),"",INDEX(Screener!$F$2:$F$13,MATCH($B60,Screener!$A$2:$A$13,0))),"")</f>
        <v/>
      </c>
      <c r="I60" s="10" t="str">
        <f aca="false">IFERROR(IF(ISBLANK(INDEX(Screener!$Q$2:$Q$13,MATCH($B60,Screener!$A$2:$A$13,0))),"",INDEX(Screener!$Q$2:$Q$13,MATCH($B60,Screener!$A$2:$A$13,0))),"")</f>
        <v/>
      </c>
      <c r="J60" s="19" t="str">
        <f aca="false">IFERROR(IF(ISBLANK(INDEX(Screener!$AH$2:$AH$13,MATCH($B60,Screener!$A$2:$A$13,0))),"",INDEX(Screener!$AH$2:$AH$13,MATCH($B60,Screener!$A$2:$A$13,0))),"")</f>
        <v/>
      </c>
      <c r="K60" s="17" t="str">
        <f aca="false">IFERROR(IF(ISBLANK(INDEX(Screener!$AI$2:$AI$13,MATCH($B60,Screener!$A$2:$A$13,0))),"",INDEX(Screener!$AI$2:$AI$13,MATCH($B60,Screener!$A$2:$A$13,0))),"")</f>
        <v/>
      </c>
    </row>
    <row r="61" customFormat="false" ht="15" hidden="false" customHeight="false" outlineLevel="0" collapsed="false">
      <c r="A61" s="15" t="n">
        <v>8</v>
      </c>
      <c r="B61" s="16"/>
      <c r="C61" s="17" t="str">
        <f aca="false">IFERROR(IF(ISBLANK(INDEX(Screener!$B$2:$B$13,MATCH($B61,Screener!$A$2:$A$13,0))),"",INDEX(Screener!$B$2:$B$13,MATCH($B61,Screener!$A$2:$A$13,0))),"")</f>
        <v/>
      </c>
      <c r="D61" s="17" t="str">
        <f aca="false">IFERROR(IF(ISBLANK(INDEX(Screener!$C$2:$C$13,MATCH($B61,Screener!$A$2:$A$13,0))),"",INDEX(Screener!$C$2:$C$13,MATCH($B61,Screener!$A$2:$A$13,0))),"")</f>
        <v/>
      </c>
      <c r="E61" s="18" t="str">
        <f aca="false">IFERROR(IF(ISBLANK(INDEX(Screener!$E$2:$E$13,MATCH($B61,Screener!$A$2:$A$13,0))),"",INDEX(Screener!$E$2:$E$13,MATCH($B61,Screener!$A$2:$A$13,0))),"")</f>
        <v/>
      </c>
      <c r="F61" s="18" t="str">
        <f aca="false">IFERROR(IF(ISBLANK(INDEX(Screener!$V$2:$V$13,MATCH($B61,Screener!$A$2:$A$13,0))),"",INDEX(Screener!$V$2:$V$13,MATCH($B61,Screener!$A$2:$A$13,0))),"")</f>
        <v/>
      </c>
      <c r="G61" s="12" t="str">
        <f aca="false">IF(AND(ISNUMBER($E61),ISNUMBER($F61),$F61&lt;&gt;0),$E61/$F61,"")</f>
        <v/>
      </c>
      <c r="H61" s="20" t="str">
        <f aca="false">IFERROR(IF(ISBLANK(INDEX(Screener!$F$2:$F$13,MATCH($B61,Screener!$A$2:$A$13,0))),"",INDEX(Screener!$F$2:$F$13,MATCH($B61,Screener!$A$2:$A$13,0))),"")</f>
        <v/>
      </c>
      <c r="I61" s="10" t="str">
        <f aca="false">IFERROR(IF(ISBLANK(INDEX(Screener!$Q$2:$Q$13,MATCH($B61,Screener!$A$2:$A$13,0))),"",INDEX(Screener!$Q$2:$Q$13,MATCH($B61,Screener!$A$2:$A$13,0))),"")</f>
        <v/>
      </c>
      <c r="J61" s="19" t="str">
        <f aca="false">IFERROR(IF(ISBLANK(INDEX(Screener!$AH$2:$AH$13,MATCH($B61,Screener!$A$2:$A$13,0))),"",INDEX(Screener!$AH$2:$AH$13,MATCH($B61,Screener!$A$2:$A$13,0))),"")</f>
        <v/>
      </c>
      <c r="K61" s="17" t="str">
        <f aca="false">IFERROR(IF(ISBLANK(INDEX(Screener!$AI$2:$AI$13,MATCH($B61,Screener!$A$2:$A$13,0))),"",INDEX(Screener!$AI$2:$AI$13,MATCH($B61,Screener!$A$2:$A$13,0))),"")</f>
        <v/>
      </c>
    </row>
    <row r="62" customFormat="false" ht="15" hidden="false" customHeight="false" outlineLevel="0" collapsed="false">
      <c r="A62" s="15" t="n">
        <v>9</v>
      </c>
      <c r="B62" s="16"/>
      <c r="C62" s="17" t="str">
        <f aca="false">IFERROR(IF(ISBLANK(INDEX(Screener!$B$2:$B$13,MATCH($B62,Screener!$A$2:$A$13,0))),"",INDEX(Screener!$B$2:$B$13,MATCH($B62,Screener!$A$2:$A$13,0))),"")</f>
        <v/>
      </c>
      <c r="D62" s="17" t="str">
        <f aca="false">IFERROR(IF(ISBLANK(INDEX(Screener!$C$2:$C$13,MATCH($B62,Screener!$A$2:$A$13,0))),"",INDEX(Screener!$C$2:$C$13,MATCH($B62,Screener!$A$2:$A$13,0))),"")</f>
        <v/>
      </c>
      <c r="E62" s="18" t="str">
        <f aca="false">IFERROR(IF(ISBLANK(INDEX(Screener!$E$2:$E$13,MATCH($B62,Screener!$A$2:$A$13,0))),"",INDEX(Screener!$E$2:$E$13,MATCH($B62,Screener!$A$2:$A$13,0))),"")</f>
        <v/>
      </c>
      <c r="F62" s="18" t="str">
        <f aca="false">IFERROR(IF(ISBLANK(INDEX(Screener!$V$2:$V$13,MATCH($B62,Screener!$A$2:$A$13,0))),"",INDEX(Screener!$V$2:$V$13,MATCH($B62,Screener!$A$2:$A$13,0))),"")</f>
        <v/>
      </c>
      <c r="G62" s="12" t="str">
        <f aca="false">IF(AND(ISNUMBER($E62),ISNUMBER($F62),$F62&lt;&gt;0),$E62/$F62,"")</f>
        <v/>
      </c>
      <c r="H62" s="20" t="str">
        <f aca="false">IFERROR(IF(ISBLANK(INDEX(Screener!$F$2:$F$13,MATCH($B62,Screener!$A$2:$A$13,0))),"",INDEX(Screener!$F$2:$F$13,MATCH($B62,Screener!$A$2:$A$13,0))),"")</f>
        <v/>
      </c>
      <c r="I62" s="10" t="str">
        <f aca="false">IFERROR(IF(ISBLANK(INDEX(Screener!$Q$2:$Q$13,MATCH($B62,Screener!$A$2:$A$13,0))),"",INDEX(Screener!$Q$2:$Q$13,MATCH($B62,Screener!$A$2:$A$13,0))),"")</f>
        <v/>
      </c>
      <c r="J62" s="19" t="str">
        <f aca="false">IFERROR(IF(ISBLANK(INDEX(Screener!$AH$2:$AH$13,MATCH($B62,Screener!$A$2:$A$13,0))),"",INDEX(Screener!$AH$2:$AH$13,MATCH($B62,Screener!$A$2:$A$13,0))),"")</f>
        <v/>
      </c>
      <c r="K62" s="17" t="str">
        <f aca="false">IFERROR(IF(ISBLANK(INDEX(Screener!$AI$2:$AI$13,MATCH($B62,Screener!$A$2:$A$13,0))),"",INDEX(Screener!$AI$2:$AI$13,MATCH($B62,Screener!$A$2:$A$13,0))),"")</f>
        <v/>
      </c>
    </row>
    <row r="63" customFormat="false" ht="15" hidden="false" customHeight="false" outlineLevel="0" collapsed="false">
      <c r="A63" s="15" t="n">
        <v>10</v>
      </c>
      <c r="B63" s="16"/>
      <c r="C63" s="17" t="str">
        <f aca="false">IFERROR(IF(ISBLANK(INDEX(Screener!$B$2:$B$13,MATCH($B63,Screener!$A$2:$A$13,0))),"",INDEX(Screener!$B$2:$B$13,MATCH($B63,Screener!$A$2:$A$13,0))),"")</f>
        <v/>
      </c>
      <c r="D63" s="17" t="str">
        <f aca="false">IFERROR(IF(ISBLANK(INDEX(Screener!$C$2:$C$13,MATCH($B63,Screener!$A$2:$A$13,0))),"",INDEX(Screener!$C$2:$C$13,MATCH($B63,Screener!$A$2:$A$13,0))),"")</f>
        <v/>
      </c>
      <c r="E63" s="18" t="str">
        <f aca="false">IFERROR(IF(ISBLANK(INDEX(Screener!$E$2:$E$13,MATCH($B63,Screener!$A$2:$A$13,0))),"",INDEX(Screener!$E$2:$E$13,MATCH($B63,Screener!$A$2:$A$13,0))),"")</f>
        <v/>
      </c>
      <c r="F63" s="18" t="str">
        <f aca="false">IFERROR(IF(ISBLANK(INDEX(Screener!$V$2:$V$13,MATCH($B63,Screener!$A$2:$A$13,0))),"",INDEX(Screener!$V$2:$V$13,MATCH($B63,Screener!$A$2:$A$13,0))),"")</f>
        <v/>
      </c>
      <c r="G63" s="12" t="str">
        <f aca="false">IF(AND(ISNUMBER($E63),ISNUMBER($F63),$F63&lt;&gt;0),$E63/$F63,"")</f>
        <v/>
      </c>
      <c r="H63" s="20" t="str">
        <f aca="false">IFERROR(IF(ISBLANK(INDEX(Screener!$F$2:$F$13,MATCH($B63,Screener!$A$2:$A$13,0))),"",INDEX(Screener!$F$2:$F$13,MATCH($B63,Screener!$A$2:$A$13,0))),"")</f>
        <v/>
      </c>
      <c r="I63" s="10" t="str">
        <f aca="false">IFERROR(IF(ISBLANK(INDEX(Screener!$Q$2:$Q$13,MATCH($B63,Screener!$A$2:$A$13,0))),"",INDEX(Screener!$Q$2:$Q$13,MATCH($B63,Screener!$A$2:$A$13,0))),"")</f>
        <v/>
      </c>
      <c r="J63" s="19" t="str">
        <f aca="false">IFERROR(IF(ISBLANK(INDEX(Screener!$AH$2:$AH$13,MATCH($B63,Screener!$A$2:$A$13,0))),"",INDEX(Screener!$AH$2:$AH$13,MATCH($B63,Screener!$A$2:$A$13,0))),"")</f>
        <v/>
      </c>
      <c r="K63" s="17" t="str">
        <f aca="false">IFERROR(IF(ISBLANK(INDEX(Screener!$AI$2:$AI$13,MATCH($B63,Screener!$A$2:$A$13,0))),"",INDEX(Screener!$AI$2:$AI$13,MATCH($B63,Screener!$A$2:$A$13,0))),"")</f>
        <v/>
      </c>
    </row>
    <row r="64" customFormat="false" ht="15" hidden="false" customHeight="false" outlineLevel="0" collapsed="false">
      <c r="A64" s="14" t="s">
        <v>56</v>
      </c>
    </row>
  </sheetData>
  <conditionalFormatting sqref="A12:A15">
    <cfRule type="cellIs" priority="2" operator="equal" aboveAverage="0" equalAverage="0" bottom="0" percent="0" rank="0" text="" dxfId="0">
      <formula>"BUY"</formula>
    </cfRule>
    <cfRule type="cellIs" priority="3" operator="equal" aboveAverage="0" equalAverage="0" bottom="0" percent="0" rank="0" text="" dxfId="1">
      <formula>"DEEP VALUE"</formula>
    </cfRule>
    <cfRule type="cellIs" priority="4" operator="equal" aboveAverage="0" equalAverage="0" bottom="0" percent="0" rank="0" text="" dxfId="2">
      <formula>"WATCH"</formula>
    </cfRule>
    <cfRule type="cellIs" priority="5" operator="equal" aboveAverage="0" equalAverage="0" bottom="0" percent="0" rank="0" text="" dxfId="3">
      <formula>"SKIP"</formula>
    </cfRule>
  </conditionalFormatting>
  <conditionalFormatting sqref="N23:N37">
    <cfRule type="cellIs" priority="6" operator="equal" aboveAverage="0" equalAverage="0" bottom="0" percent="0" rank="0" text="" dxfId="0">
      <formula>"BUY"</formula>
    </cfRule>
    <cfRule type="cellIs" priority="7" operator="equal" aboveAverage="0" equalAverage="0" bottom="0" percent="0" rank="0" text="" dxfId="1">
      <formula>"DEEP VALUE"</formula>
    </cfRule>
    <cfRule type="cellIs" priority="8" operator="equal" aboveAverage="0" equalAverage="0" bottom="0" percent="0" rank="0" text="" dxfId="2">
      <formula>"WATCH"</formula>
    </cfRule>
    <cfRule type="cellIs" priority="9" operator="equal" aboveAverage="0" equalAverage="0" bottom="0" percent="0" rank="0" text="" dxfId="3">
      <formula>"SKIP"</formula>
    </cfRule>
  </conditionalFormatting>
  <conditionalFormatting sqref="H23:H37">
    <cfRule type="colorScale" priority="10">
      <colorScale>
        <cfvo type="num" val="-0.5"/>
        <cfvo type="num" val="0"/>
        <cfvo type="num" val="0.6"/>
        <color rgb="FFF8696B"/>
        <color rgb="FFFFEB84"/>
        <color rgb="FF63BE7B"/>
      </colorScale>
    </cfRule>
  </conditionalFormatting>
  <conditionalFormatting sqref="K41:K50">
    <cfRule type="cellIs" priority="11" operator="equal" aboveAverage="0" equalAverage="0" bottom="0" percent="0" rank="0" text="" dxfId="0">
      <formula>"BUY"</formula>
    </cfRule>
    <cfRule type="cellIs" priority="12" operator="equal" aboveAverage="0" equalAverage="0" bottom="0" percent="0" rank="0" text="" dxfId="1">
      <formula>"DEEP VALUE"</formula>
    </cfRule>
    <cfRule type="cellIs" priority="13" operator="equal" aboveAverage="0" equalAverage="0" bottom="0" percent="0" rank="0" text="" dxfId="2">
      <formula>"WATCH"</formula>
    </cfRule>
    <cfRule type="cellIs" priority="14" operator="equal" aboveAverage="0" equalAverage="0" bottom="0" percent="0" rank="0" text="" dxfId="3">
      <formula>"SKIP"</formula>
    </cfRule>
  </conditionalFormatting>
  <conditionalFormatting sqref="K54:K63">
    <cfRule type="cellIs" priority="15" operator="equal" aboveAverage="0" equalAverage="0" bottom="0" percent="0" rank="0" text="" dxfId="0">
      <formula>"BUY"</formula>
    </cfRule>
    <cfRule type="cellIs" priority="16" operator="equal" aboveAverage="0" equalAverage="0" bottom="0" percent="0" rank="0" text="" dxfId="1">
      <formula>"DEEP VALUE"</formula>
    </cfRule>
    <cfRule type="cellIs" priority="17" operator="equal" aboveAverage="0" equalAverage="0" bottom="0" percent="0" rank="0" text="" dxfId="2">
      <formula>"WATCH"</formula>
    </cfRule>
    <cfRule type="cellIs" priority="18" operator="equal" aboveAverage="0" equalAverage="0" bottom="0" percent="0" rank="0" text="" dxfId="3">
      <formula>"SKIP"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3" min="12" style="0" width="10"/>
    <col collapsed="false" customWidth="true" hidden="false" outlineLevel="0" max="14" min="14" style="0" width="16"/>
    <col collapsed="false" customWidth="true" hidden="false" outlineLevel="0" max="15" min="15" style="0" width="2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7" min="21" style="0" width="12"/>
    <col collapsed="false" customWidth="true" hidden="false" outlineLevel="0" max="28" min="28" style="0" width="13"/>
    <col collapsed="false" customWidth="true" hidden="false" outlineLevel="0" max="30" min="29" style="0" width="10"/>
    <col collapsed="false" customWidth="true" hidden="false" outlineLevel="0" max="33" min="31" style="0" width="9"/>
    <col collapsed="false" customWidth="true" hidden="false" outlineLevel="0" max="34" min="34" style="0" width="11"/>
    <col collapsed="false" customWidth="true" hidden="false" outlineLevel="0" max="35" min="35" style="0" width="13"/>
    <col collapsed="false" customWidth="true" hidden="false" outlineLevel="0" max="36" min="36" style="0" width="14"/>
    <col collapsed="false" customWidth="true" hidden="false" outlineLevel="0" max="37" min="37" style="0" width="44"/>
    <col collapsed="false" customWidth="true" hidden="true" outlineLevel="0" max="41" min="38" style="0" width="13"/>
  </cols>
  <sheetData>
    <row r="1" customFormat="false" ht="35.05" hidden="false" customHeight="false" outlineLevel="0" collapsed="false">
      <c r="A1" s="8" t="s">
        <v>27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55</v>
      </c>
      <c r="G1" s="8" t="s">
        <v>57</v>
      </c>
      <c r="H1" s="8" t="s">
        <v>58</v>
      </c>
      <c r="I1" s="8" t="s">
        <v>40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42</v>
      </c>
      <c r="O1" s="8" t="s">
        <v>41</v>
      </c>
      <c r="P1" s="8" t="s">
        <v>63</v>
      </c>
      <c r="Q1" s="8" t="s">
        <v>37</v>
      </c>
      <c r="R1" s="8" t="s">
        <v>43</v>
      </c>
      <c r="S1" s="8" t="s">
        <v>64</v>
      </c>
      <c r="T1" s="8" t="s">
        <v>65</v>
      </c>
      <c r="U1" s="8" t="s">
        <v>66</v>
      </c>
      <c r="V1" s="8" t="s">
        <v>53</v>
      </c>
      <c r="W1" s="8" t="s">
        <v>67</v>
      </c>
      <c r="X1" s="8" t="s">
        <v>68</v>
      </c>
      <c r="Y1" s="8" t="s">
        <v>69</v>
      </c>
      <c r="Z1" s="8" t="s">
        <v>70</v>
      </c>
      <c r="AA1" s="8" t="s">
        <v>71</v>
      </c>
      <c r="AB1" s="8" t="s">
        <v>32</v>
      </c>
      <c r="AC1" s="8" t="s">
        <v>33</v>
      </c>
      <c r="AD1" s="8" t="s">
        <v>72</v>
      </c>
      <c r="AE1" s="8" t="s">
        <v>35</v>
      </c>
      <c r="AF1" s="8" t="s">
        <v>36</v>
      </c>
      <c r="AG1" s="8" t="s">
        <v>13</v>
      </c>
      <c r="AH1" s="8" t="s">
        <v>34</v>
      </c>
      <c r="AI1" s="8" t="s">
        <v>9</v>
      </c>
      <c r="AJ1" s="8" t="s">
        <v>73</v>
      </c>
      <c r="AK1" s="8" t="s">
        <v>74</v>
      </c>
      <c r="AL1" s="8" t="s">
        <v>75</v>
      </c>
      <c r="AM1" s="8" t="s">
        <v>76</v>
      </c>
      <c r="AN1" s="8" t="s">
        <v>77</v>
      </c>
      <c r="AO1" s="8" t="s">
        <v>78</v>
      </c>
    </row>
    <row r="2" customFormat="false" ht="15" hidden="false" customHeight="false" outlineLevel="0" collapsed="false">
      <c r="A2" s="21" t="s">
        <v>44</v>
      </c>
      <c r="B2" s="22" t="str">
        <f aca="false">IFERROR(IF(ISBLANK(INDEX(RAW_scores!$B$2:$B$13,$AM2)),"",INDEX(RAW_scores!$B$2:$B$13,$AM2)),"")</f>
        <v>Astra Agro Lestari Tbk.</v>
      </c>
      <c r="C2" s="22" t="str">
        <f aca="false">IFERROR(IF(ISBLANK(INDEX(RAW_scores!$C$2:$C$13,$AM2)),"",INDEX(RAW_scores!$C$2:$C$13,$AM2)),"")</f>
        <v>Consumer Non-Cyclicals</v>
      </c>
      <c r="D2" s="22" t="str">
        <f aca="false">IFERROR(IF(ISBLANK(INDEX(RAW_scores!$D$2:$D$13,$AM2)),"",INDEX(RAW_scores!$D$2:$D$13,$AM2)),"")</f>
        <v>Ordinary</v>
      </c>
      <c r="E2" s="23" t="n">
        <f aca="false">IFERROR(IF(ISBLANK(INDEX(RAW_idx_stocks!$F$2:$F$13,$AN2)),"",INDEX(RAW_idx_stocks!$F$2:$F$13,$AN2)),"")</f>
        <v>7325</v>
      </c>
      <c r="F2" s="24" t="n">
        <f aca="false">IFERROR(IF(ISBLANK(INDEX(RAW_key_statistics!$BS$2:$BS$13,$AL2)),"",INDEX(RAW_key_statistics!$BS$2:$BS$13,$AL2)/1000000000),"")</f>
        <v>14098.342346752</v>
      </c>
      <c r="G2" s="25" t="n">
        <f aca="false">IFERROR(IF(ISBLANK(INDEX(RAW_key_statistics!$C$2:$C$13,$AL2)),"",INDEX(RAW_key_statistics!$C$2:$C$13,$AL2)),"")</f>
        <v>7.32161946223132</v>
      </c>
      <c r="H2" s="25" t="n">
        <f aca="false">IFERROR(IF(ISBLANK(INDEX(RAW_key_statistics!$H$2:$H$13,$AL2)),"",INDEX(RAW_key_statistics!$H$2:$H$13,$AL2)),"")</f>
        <v>0.587477671732417</v>
      </c>
      <c r="I2" s="25" t="n">
        <f aca="false">IFERROR(IF(ISBLANK(INDEX(RAW_key_statistics!$K$2:$K$13,$AL2)),"",INDEX(RAW_key_statistics!$K$2:$K$13,$AL2)),"")</f>
        <v>3.34355904544451</v>
      </c>
      <c r="J2" s="25" t="n">
        <f aca="false">IFERROR(IF(ISBLANK(INDEX(RAW_key_statistics!$L$2:$L$13,$AL2)),"",INDEX(RAW_key_statistics!$L$2:$L$13,$AL2)),"")</f>
        <v>3.15903039842614</v>
      </c>
      <c r="K2" s="26" t="n">
        <f aca="false">IFERROR(IF(ISBLANK(INDEX(RAW_key_statistics!$AZ$2:$AZ$13,$AL2)),"",INDEX(RAW_key_statistics!$AZ$2:$AZ$13,$AL2)),"")</f>
        <v>0.0625</v>
      </c>
      <c r="L2" s="26" t="n">
        <f aca="false">IFERROR(IF(ISBLANK(INDEX(RAW_key_statistics!$AG$2:$AG$13,$AL2)),"",INDEX(RAW_key_statistics!$AG$2:$AG$13,$AL2)),"")</f>
        <v>0.0802387606680365</v>
      </c>
      <c r="M2" s="26" t="n">
        <f aca="false">IFERROR(IF(ISBLANK(INDEX(RAW_key_statistics!$AI$2:$AI$13,$AL2)),"",INDEX(RAW_key_statistics!$AI$2:$AI$13,$AL2)),"")</f>
        <v>0.0851122285217392</v>
      </c>
      <c r="N2" s="26" t="n">
        <f aca="false">IFERROR(IF(ISBLANK(INDEX(RAW_key_statistics!$CI$2:$CI$13,$AL2)),"",INDEX(RAW_key_statistics!$CI$2:$CI$13,$AL2)),"")</f>
        <v>0.140091279165906</v>
      </c>
      <c r="O2" s="26" t="n">
        <f aca="false">IFERROR(IF(ISBLANK(INDEX(RAW_key_statistics!$CH$2:$CH$13,$AL2)),"",INDEX(RAW_key_statistics!$CH$2:$CH$13,$AL2)),"")</f>
        <v>0.29908250053561</v>
      </c>
      <c r="P2" s="26" t="n">
        <f aca="false">IFERROR(IF(ISBLANK(INDEX(RAW_key_statistics!$CK$2:$CK$13,$AL2)),"",INDEX(RAW_key_statistics!$CK$2:$CK$13,$AL2)),"")</f>
        <v>0.177359078003668</v>
      </c>
      <c r="Q2" s="27" t="n">
        <f aca="false">IFERROR(IF(ISBLANK(INDEX(RAW_key_statistics!$BB$2:$BB$13,$AL2)),"",INDEX(RAW_key_statistics!$BB$2:$BB$13,$AL2)),"")</f>
        <v>7</v>
      </c>
      <c r="R2" s="28" t="n">
        <f aca="false">IFERROR(IF(ISBLANK(INDEX(RAW_key_statistics!$AE$2:$AE$13,$AL2)),"",INDEX(RAW_key_statistics!$AE$2:$AE$13,$AL2)),"")</f>
        <v>10.4940987900542</v>
      </c>
      <c r="S2" s="25" t="n">
        <f aca="false">IFERROR(IF(ISBLANK(INDEX(RAW_key_statistics!$V$2:$V$13,$AL2)),"",INDEX(RAW_key_statistics!$V$2:$V$13,$AL2)),"")</f>
        <v>3.33230302980731</v>
      </c>
      <c r="T2" s="25" t="n">
        <f aca="false">IFERROR(IF(ISBLANK(INDEX(RAW_analyses!$N$2:$N$13,$AO2)),"",INDEX(RAW_analyses!$N$2:$N$13,$AO2)),"")</f>
        <v>-0.214568576082513</v>
      </c>
      <c r="U2" s="26" t="n">
        <f aca="false">IFERROR(IF(ISBLANK(INDEX(RAW_key_statistics!$CS$2:$CS$13,$AL2)),"",INDEX(RAW_key_statistics!$CS$2:$CS$13,$AL2)),"")</f>
        <v>0.0949386633877265</v>
      </c>
      <c r="V2" s="23" t="n">
        <f aca="false">IFERROR(IF(ISBLANK(INDEX(RAW_key_statistics!$CM$2:$CM$13,$AL2)),"",INDEX(RAW_key_statistics!$CM$2:$CM$13,$AL2)),"")</f>
        <v>3507.99445512096</v>
      </c>
      <c r="W2" s="22" t="str">
        <f aca="false">IFERROR(IF(ISBLANK(INDEX(RAW_key_statistics!$CN$2:$CN$13,$AL2)),"",INDEX(RAW_key_statistics!$CN$2:$CN$13,$AL2)),"")</f>
        <v>FALSE</v>
      </c>
      <c r="X2" s="23" t="n">
        <f aca="false">IFERROR(IF(ISBLANK(INDEX(RAW_key_statistics!$CR$2:$CR$13,$AL2)),"",INDEX(RAW_key_statistics!$CR$2:$CR$13,$AL2)),"")</f>
        <v>9980.47381004206</v>
      </c>
      <c r="Y2" s="23" t="n">
        <f aca="false">IFERROR(IF(ISBLANK(INDEX(RAW_scores!$R$2:$R$13,$AM2)),"",INDEX(RAW_scores!$R$2:$R$13,$AM2)),"")</f>
        <v>7686.149289814</v>
      </c>
      <c r="Z2" s="23" t="n">
        <f aca="false">IFERROR(IF(ISBLANK(INDEX(RAW_scores!$S$2:$S$13,$AM2)),"",INDEX(RAW_scores!$S$2:$S$13,$AM2)),"")</f>
        <v>10632.1442667336</v>
      </c>
      <c r="AA2" s="23" t="n">
        <f aca="false">IFERROR(IF(ISBLANK(INDEX(RAW_scores!$T$2:$T$13,$AM2)),"",INDEX(RAW_scores!$T$2:$T$13,$AM2)),"")</f>
        <v>13770.4029516587</v>
      </c>
      <c r="AB2" s="23" t="n">
        <f aca="false">IFERROR(IF(ISBLANK(INDEX(RAW_scores!$X$2:$X$13,$AM2)),"",INDEX(RAW_scores!$X$2:$X$13,$AM2)),"")</f>
        <v>10328.0313869442</v>
      </c>
      <c r="AC2" s="26" t="n">
        <f aca="false">IFERROR(IF(ISBLANK(INDEX(RAW_scores!$Y$2:$Y$13,$AM2)),"",INDEX(RAW_scores!$Y$2:$Y$13,$AM2)),"")</f>
        <v>0.290765129813643</v>
      </c>
      <c r="AD2" s="26" t="n">
        <f aca="false">IFERROR(IF(ISBLANK(INDEX(RAW_scores!$Z$2:$Z$13,$AM2)),"",INDEX(RAW_scores!$Z$2:$Z$13,$AM2)),"")</f>
        <v>0.409970155214227</v>
      </c>
      <c r="AE2" s="28" t="n">
        <f aca="false">IFERROR(IF(ISBLANK(INDEX(RAW_scores!$F$2:$F$13,$AM2)),"",INDEX(RAW_scores!$F$2:$F$13,$AM2)),"")</f>
        <v>53.3</v>
      </c>
      <c r="AF2" s="28" t="n">
        <f aca="false">IFERROR(IF(ISBLANK(INDEX(RAW_scores!$G$2:$G$13,$AM2)),"",INDEX(RAW_scores!$G$2:$G$13,$AM2)),"")</f>
        <v>95.6</v>
      </c>
      <c r="AG2" s="28" t="n">
        <f aca="false">IFERROR(IF(ISBLANK(INDEX(RAW_scores!$H$2:$H$13,$AM2)),"",INDEX(RAW_scores!$H$2:$H$13,$AM2)),"")</f>
        <v>100</v>
      </c>
      <c r="AH2" s="28" t="n">
        <f aca="false">IFERROR(IF(ISBLANK(INDEX(RAW_scores!$I$2:$I$13,$AM2)),"",INDEX(RAW_scores!$I$2:$I$13,$AM2)),"")</f>
        <v>83</v>
      </c>
      <c r="AI2" s="22" t="str">
        <f aca="false">IFERROR(IF(ISBLANK(INDEX(RAW_scores!$AA$2:$AA$13,$AM2)),"",INDEX(RAW_scores!$AA$2:$AA$13,$AM2)),"")</f>
        <v>WATCH</v>
      </c>
      <c r="AJ2" s="28" t="n">
        <f aca="false">IFERROR(IF(ISBLANK(INDEX(RAW_scores!$AF$2:$AF$13,$AM2)),"",INDEX(RAW_scores!$AF$2:$AF$13,$AM2)),"")</f>
        <v>0.45</v>
      </c>
      <c r="AK2" s="22" t="str">
        <f aca="false">IFERROR(IF(ISBLANK(INDEX(RAW_scores!$AC$2:$AC$13,$AM2)),"",INDEX(RAW_scores!$AC$2:$AC$13,$AM2)),"")</f>
        <v/>
      </c>
      <c r="AL2" s="29" t="n">
        <f aca="false">IFERROR(MATCH($A2,RAW_key_statistics!$A$2:$A$13,0),"")</f>
        <v>1</v>
      </c>
      <c r="AM2" s="29" t="n">
        <f aca="false">IFERROR(MATCH($A2,RAW_scores!$A$2:$A$13,0),"")</f>
        <v>1</v>
      </c>
      <c r="AN2" s="29" t="n">
        <f aca="false">IFERROR(MATCH($A2,RAW_idx_stocks!$A$2:$A$13,0),"")</f>
        <v>1</v>
      </c>
      <c r="AO2" s="29" t="n">
        <f aca="false">IFERROR(MATCH($A2,RAW_analyses!$A$2:$A$13,0),"")</f>
        <v>1</v>
      </c>
    </row>
    <row r="3" customFormat="false" ht="15" hidden="false" customHeight="false" outlineLevel="0" collapsed="false">
      <c r="A3" s="21" t="s">
        <v>79</v>
      </c>
      <c r="B3" s="22" t="str">
        <f aca="false">IFERROR(IF(ISBLANK(INDEX(RAW_scores!$B$2:$B$13,$AM3)),"",INDEX(RAW_scores!$B$2:$B$13,$AM3)),"")</f>
        <v>Mahaka Media Tbk.</v>
      </c>
      <c r="C3" s="22" t="str">
        <f aca="false">IFERROR(IF(ISBLANK(INDEX(RAW_scores!$C$2:$C$13,$AM3)),"",INDEX(RAW_scores!$C$2:$C$13,$AM3)),"")</f>
        <v>Consumer Cyclicals</v>
      </c>
      <c r="D3" s="22" t="str">
        <f aca="false">IFERROR(IF(ISBLANK(INDEX(RAW_scores!$D$2:$D$13,$AM3)),"",INDEX(RAW_scores!$D$2:$D$13,$AM3)),"")</f>
        <v>Ordinary</v>
      </c>
      <c r="E3" s="23" t="n">
        <f aca="false">IFERROR(IF(ISBLANK(INDEX(RAW_idx_stocks!$F$2:$F$13,$AN3)),"",INDEX(RAW_idx_stocks!$F$2:$F$13,$AN3)),"")</f>
        <v>30</v>
      </c>
      <c r="F3" s="24" t="n">
        <f aca="false">IFERROR(IF(ISBLANK(INDEX(RAW_key_statistics!$BS$2:$BS$13,$AL3)),"",INDEX(RAW_key_statistics!$BS$2:$BS$13,$AL3)/1000000000),"")</f>
        <v>118.07678464</v>
      </c>
      <c r="G3" s="25" t="n">
        <f aca="false">IFERROR(IF(ISBLANK(INDEX(RAW_key_statistics!$C$2:$C$13,$AL3)),"",INDEX(RAW_key_statistics!$C$2:$C$13,$AL3)),"")</f>
        <v>-4.59944456122133</v>
      </c>
      <c r="H3" s="25" t="n">
        <f aca="false">IFERROR(IF(ISBLANK(INDEX(RAW_key_statistics!$H$2:$H$13,$AL3)),"",INDEX(RAW_key_statistics!$H$2:$H$13,$AL3)),"")</f>
        <v>4.77697622664907</v>
      </c>
      <c r="I3" s="25" t="n">
        <f aca="false">IFERROR(IF(ISBLANK(INDEX(RAW_key_statistics!$K$2:$K$13,$AL3)),"",INDEX(RAW_key_statistics!$K$2:$K$13,$AL3)),"")</f>
        <v>-7.93003041271303</v>
      </c>
      <c r="J3" s="25" t="n">
        <f aca="false">IFERROR(IF(ISBLANK(INDEX(RAW_key_statistics!$L$2:$L$13,$AL3)),"",INDEX(RAW_key_statistics!$L$2:$L$13,$AL3)),"")</f>
        <v>-11.1963601752076</v>
      </c>
      <c r="K3" s="26" t="str">
        <f aca="false">IFERROR(IF(ISBLANK(INDEX(RAW_key_statistics!$AZ$2:$AZ$13,$AL3)),"",INDEX(RAW_key_statistics!$AZ$2:$AZ$13,$AL3)),"")</f>
        <v/>
      </c>
      <c r="L3" s="26" t="n">
        <f aca="false">IFERROR(IF(ISBLANK(INDEX(RAW_key_statistics!$AG$2:$AG$13,$AL3)),"",INDEX(RAW_key_statistics!$AG$2:$AG$13,$AL3)),"")</f>
        <v>-1.03859850098521</v>
      </c>
      <c r="M3" s="26" t="n">
        <f aca="false">IFERROR(IF(ISBLANK(INDEX(RAW_key_statistics!$AI$2:$AI$13,$AL3)),"",INDEX(RAW_key_statistics!$AI$2:$AI$13,$AL3)),"")</f>
        <v>-0.14011542442172</v>
      </c>
      <c r="N3" s="26" t="n">
        <f aca="false">IFERROR(IF(ISBLANK(INDEX(RAW_key_statistics!$CI$2:$CI$13,$AL3)),"",INDEX(RAW_key_statistics!$CI$2:$CI$13,$AL3)),"")</f>
        <v>-0.157139139922957</v>
      </c>
      <c r="O3" s="26" t="n">
        <f aca="false">IFERROR(IF(ISBLANK(INDEX(RAW_key_statistics!$CH$2:$CH$13,$AL3)),"",INDEX(RAW_key_statistics!$CH$2:$CH$13,$AL3)),"")</f>
        <v>-0.126102921168732</v>
      </c>
      <c r="P3" s="26" t="n">
        <f aca="false">IFERROR(IF(ISBLANK(INDEX(RAW_key_statistics!$CK$2:$CK$13,$AL3)),"",INDEX(RAW_key_statistics!$CK$2:$CK$13,$AL3)),"")</f>
        <v>-0.0458559571511719</v>
      </c>
      <c r="Q3" s="27" t="n">
        <f aca="false">IFERROR(IF(ISBLANK(INDEX(RAW_key_statistics!$BB$2:$BB$13,$AL3)),"",INDEX(RAW_key_statistics!$BB$2:$BB$13,$AL3)),"")</f>
        <v>1</v>
      </c>
      <c r="R3" s="28" t="n">
        <f aca="false">IFERROR(IF(ISBLANK(INDEX(RAW_key_statistics!$AE$2:$AE$13,$AL3)),"",INDEX(RAW_key_statistics!$AE$2:$AE$13,$AL3)),"")</f>
        <v>-8.97025456540913</v>
      </c>
      <c r="S3" s="25" t="n">
        <f aca="false">IFERROR(IF(ISBLANK(INDEX(RAW_key_statistics!$V$2:$V$13,$AL3)),"",INDEX(RAW_key_statistics!$V$2:$V$13,$AL3)),"")</f>
        <v>0.453865552331569</v>
      </c>
      <c r="T3" s="25" t="n">
        <f aca="false">IFERROR(IF(ISBLANK(INDEX(RAW_analyses!$N$2:$N$13,$AO3)),"",INDEX(RAW_analyses!$N$2:$N$13,$AO3)),"")</f>
        <v>3.34764979474182</v>
      </c>
      <c r="U3" s="26" t="n">
        <f aca="false">IFERROR(IF(ISBLANK(INDEX(RAW_key_statistics!$CS$2:$CS$13,$AL3)),"",INDEX(RAW_key_statistics!$CS$2:$CS$13,$AL3)),"")</f>
        <v>0.0271183031780712</v>
      </c>
      <c r="V3" s="23" t="n">
        <f aca="false">IFERROR(IF(ISBLANK(INDEX(RAW_key_statistics!$CM$2:$CM$13,$AL3)),"",INDEX(RAW_key_statistics!$CM$2:$CM$13,$AL3)),"")</f>
        <v>-63.4719432922815</v>
      </c>
      <c r="W3" s="22" t="str">
        <f aca="false">IFERROR(IF(ISBLANK(INDEX(RAW_key_statistics!$CN$2:$CN$13,$AL3)),"",INDEX(RAW_key_statistics!$CN$2:$CN$13,$AL3)),"")</f>
        <v>FALSE</v>
      </c>
      <c r="X3" s="23" t="str">
        <f aca="false">IFERROR(IF(ISBLANK(INDEX(RAW_key_statistics!$CR$2:$CR$13,$AL3)),"",INDEX(RAW_key_statistics!$CR$2:$CR$13,$AL3)),"")</f>
        <v/>
      </c>
      <c r="Y3" s="23" t="str">
        <f aca="false">IFERROR(IF(ISBLANK(INDEX(RAW_scores!$R$2:$R$13,$AM3)),"",INDEX(RAW_scores!$R$2:$R$13,$AM3)),"")</f>
        <v/>
      </c>
      <c r="Z3" s="23" t="str">
        <f aca="false">IFERROR(IF(ISBLANK(INDEX(RAW_scores!$S$2:$S$13,$AM3)),"",INDEX(RAW_scores!$S$2:$S$13,$AM3)),"")</f>
        <v/>
      </c>
      <c r="AA3" s="23" t="str">
        <f aca="false">IFERROR(IF(ISBLANK(INDEX(RAW_scores!$T$2:$T$13,$AM3)),"",INDEX(RAW_scores!$T$2:$T$13,$AM3)),"")</f>
        <v/>
      </c>
      <c r="AB3" s="23" t="str">
        <f aca="false">IFERROR(IF(ISBLANK(INDEX(RAW_scores!$X$2:$X$13,$AM3)),"",INDEX(RAW_scores!$X$2:$X$13,$AM3)),"")</f>
        <v/>
      </c>
      <c r="AC3" s="26" t="str">
        <f aca="false">IFERROR(IF(ISBLANK(INDEX(RAW_scores!$Y$2:$Y$13,$AM3)),"",INDEX(RAW_scores!$Y$2:$Y$13,$AM3)),"")</f>
        <v/>
      </c>
      <c r="AD3" s="26" t="str">
        <f aca="false">IFERROR(IF(ISBLANK(INDEX(RAW_scores!$Z$2:$Z$13,$AM3)),"",INDEX(RAW_scores!$Z$2:$Z$13,$AM3)),"")</f>
        <v/>
      </c>
      <c r="AE3" s="28" t="n">
        <f aca="false">IFERROR(IF(ISBLANK(INDEX(RAW_scores!$F$2:$F$13,$AM3)),"",INDEX(RAW_scores!$F$2:$F$13,$AM3)),"")</f>
        <v>45</v>
      </c>
      <c r="AF3" s="28" t="n">
        <f aca="false">IFERROR(IF(ISBLANK(INDEX(RAW_scores!$G$2:$G$13,$AM3)),"",INDEX(RAW_scores!$G$2:$G$13,$AM3)),"")</f>
        <v>17.8</v>
      </c>
      <c r="AG3" s="28" t="n">
        <f aca="false">IFERROR(IF(ISBLANK(INDEX(RAW_scores!$H$2:$H$13,$AM3)),"",INDEX(RAW_scores!$H$2:$H$13,$AM3)),"")</f>
        <v>20</v>
      </c>
      <c r="AH3" s="28" t="n">
        <f aca="false">IFERROR(IF(ISBLANK(INDEX(RAW_scores!$I$2:$I$13,$AM3)),"",INDEX(RAW_scores!$I$2:$I$13,$AM3)),"")</f>
        <v>27.6</v>
      </c>
      <c r="AI3" s="22" t="str">
        <f aca="false">IFERROR(IF(ISBLANK(INDEX(RAW_scores!$AA$2:$AA$13,$AM3)),"",INDEX(RAW_scores!$AA$2:$AA$13,$AM3)),"")</f>
        <v>SKIP</v>
      </c>
      <c r="AJ3" s="28" t="n">
        <f aca="false">IFERROR(IF(ISBLANK(INDEX(RAW_scores!$AF$2:$AF$13,$AM3)),"",INDEX(RAW_scores!$AF$2:$AF$13,$AM3)),"")</f>
        <v>1.45</v>
      </c>
      <c r="AK3" s="22" t="str">
        <f aca="false">IFERROR(IF(ISBLANK(INDEX(RAW_scores!$AC$2:$AC$13,$AM3)),"",INDEX(RAW_scores!$AC$2:$AC$13,$AM3)),"")</f>
        <v>Interest coverage -6.5x</v>
      </c>
      <c r="AL3" s="29" t="n">
        <f aca="false">IFERROR(MATCH($A3,RAW_key_statistics!$A$2:$A$13,0),"")</f>
        <v>2</v>
      </c>
      <c r="AM3" s="29" t="n">
        <f aca="false">IFERROR(MATCH($A3,RAW_scores!$A$2:$A$13,0),"")</f>
        <v>2</v>
      </c>
      <c r="AN3" s="29" t="n">
        <f aca="false">IFERROR(MATCH($A3,RAW_idx_stocks!$A$2:$A$13,0),"")</f>
        <v>2</v>
      </c>
      <c r="AO3" s="29" t="n">
        <f aca="false">IFERROR(MATCH($A3,RAW_analyses!$A$2:$A$13,0),"")</f>
        <v>2</v>
      </c>
    </row>
    <row r="4" customFormat="false" ht="15" hidden="false" customHeight="false" outlineLevel="0" collapsed="false">
      <c r="A4" s="21" t="s">
        <v>47</v>
      </c>
      <c r="B4" s="22" t="str">
        <f aca="false">IFERROR(IF(ISBLANK(INDEX(RAW_scores!$B$2:$B$13,$AM4)),"",INDEX(RAW_scores!$B$2:$B$13,$AM4)),"")</f>
        <v>Alamtri Resources Indonesia Tbk.</v>
      </c>
      <c r="C4" s="22" t="str">
        <f aca="false">IFERROR(IF(ISBLANK(INDEX(RAW_scores!$C$2:$C$13,$AM4)),"",INDEX(RAW_scores!$C$2:$C$13,$AM4)),"")</f>
        <v>Energy</v>
      </c>
      <c r="D4" s="22" t="str">
        <f aca="false">IFERROR(IF(ISBLANK(INDEX(RAW_scores!$D$2:$D$13,$AM4)),"",INDEX(RAW_scores!$D$2:$D$13,$AM4)),"")</f>
        <v>Cyclical</v>
      </c>
      <c r="E4" s="23" t="n">
        <f aca="false">IFERROR(IF(ISBLANK(INDEX(RAW_idx_stocks!$F$2:$F$13,$AN4)),"",INDEX(RAW_idx_stocks!$F$2:$F$13,$AN4)),"")</f>
        <v>2540</v>
      </c>
      <c r="F4" s="24" t="n">
        <f aca="false">IFERROR(IF(ISBLANK(INDEX(RAW_key_statistics!$BS$2:$BS$13,$AL4)),"",INDEX(RAW_key_statistics!$BS$2:$BS$13,$AL4)/1000000000),"")</f>
        <v>73153.250328576</v>
      </c>
      <c r="G4" s="25" t="n">
        <f aca="false">IFERROR(IF(ISBLANK(INDEX(RAW_key_statistics!$C$2:$C$13,$AL4)),"",INDEX(RAW_key_statistics!$C$2:$C$13,$AL4)),"")</f>
        <v>9.0941537589781</v>
      </c>
      <c r="H4" s="25" t="n">
        <f aca="false">IFERROR(IF(ISBLANK(INDEX(RAW_key_statistics!$H$2:$H$13,$AL4)),"",INDEX(RAW_key_statistics!$H$2:$H$13,$AL4)),"")</f>
        <v>0.834357491077331</v>
      </c>
      <c r="I4" s="25" t="n">
        <f aca="false">IFERROR(IF(ISBLANK(INDEX(RAW_key_statistics!$K$2:$K$13,$AL4)),"",INDEX(RAW_key_statistics!$K$2:$K$13,$AL4)),"")</f>
        <v>6.47667967861175</v>
      </c>
      <c r="J4" s="25" t="n">
        <f aca="false">IFERROR(IF(ISBLANK(INDEX(RAW_key_statistics!$L$2:$L$13,$AL4)),"",INDEX(RAW_key_statistics!$L$2:$L$13,$AL4)),"")</f>
        <v>6.43417034736683</v>
      </c>
      <c r="K4" s="26" t="n">
        <f aca="false">IFERROR(IF(ISBLANK(INDEX(RAW_key_statistics!$AZ$2:$AZ$13,$AL4)),"",INDEX(RAW_key_statistics!$AZ$2:$AZ$13,$AL4)),"")</f>
        <v>0.093100004</v>
      </c>
      <c r="L4" s="26" t="n">
        <f aca="false">IFERROR(IF(ISBLANK(INDEX(RAW_key_statistics!$AG$2:$AG$13,$AL4)),"",INDEX(RAW_key_statistics!$AG$2:$AG$13,$AL4)),"")</f>
        <v>0.0917465784272254</v>
      </c>
      <c r="M4" s="26" t="n">
        <f aca="false">IFERROR(IF(ISBLANK(INDEX(RAW_key_statistics!$AI$2:$AI$13,$AL4)),"",INDEX(RAW_key_statistics!$AI$2:$AI$13,$AL4)),"")</f>
        <v>0.0856778916241402</v>
      </c>
      <c r="N4" s="26" t="n">
        <f aca="false">IFERROR(IF(ISBLANK(INDEX(RAW_key_statistics!$CI$2:$CI$13,$AL4)),"",INDEX(RAW_key_statistics!$CI$2:$CI$13,$AL4)),"")</f>
        <v>0.115995157987041</v>
      </c>
      <c r="O4" s="26" t="n">
        <f aca="false">IFERROR(IF(ISBLANK(INDEX(RAW_key_statistics!$CH$2:$CH$13,$AL4)),"",INDEX(RAW_key_statistics!$CH$2:$CH$13,$AL4)),"")</f>
        <v>0.154400101536957</v>
      </c>
      <c r="P4" s="26" t="n">
        <f aca="false">IFERROR(IF(ISBLANK(INDEX(RAW_key_statistics!$CK$2:$CK$13,$AL4)),"",INDEX(RAW_key_statistics!$CK$2:$CK$13,$AL4)),"")</f>
        <v>-0.0058475651331776</v>
      </c>
      <c r="Q4" s="27" t="n">
        <f aca="false">IFERROR(IF(ISBLANK(INDEX(RAW_key_statistics!$BB$2:$BB$13,$AL4)),"",INDEX(RAW_key_statistics!$BB$2:$BB$13,$AL4)),"")</f>
        <v>2</v>
      </c>
      <c r="R4" s="28" t="n">
        <f aca="false">IFERROR(IF(ISBLANK(INDEX(RAW_key_statistics!$AE$2:$AE$13,$AL4)),"",INDEX(RAW_key_statistics!$AE$2:$AE$13,$AL4)),"")</f>
        <v>6.81474473603233</v>
      </c>
      <c r="S4" s="25" t="n">
        <f aca="false">IFERROR(IF(ISBLANK(INDEX(RAW_key_statistics!$V$2:$V$13,$AL4)),"",INDEX(RAW_key_statistics!$V$2:$V$13,$AL4)),"")</f>
        <v>4.32073122110532</v>
      </c>
      <c r="T4" s="25" t="n">
        <f aca="false">IFERROR(IF(ISBLANK(INDEX(RAW_analyses!$N$2:$N$13,$AO4)),"",INDEX(RAW_analyses!$N$2:$N$13,$AO4)),"")</f>
        <v>-0.0202176464857173</v>
      </c>
      <c r="U4" s="26" t="n">
        <f aca="false">IFERROR(IF(ISBLANK(INDEX(RAW_key_statistics!$CS$2:$CS$13,$AL4)),"",INDEX(RAW_key_statistics!$CS$2:$CS$13,$AL4)),"")</f>
        <v>-0.386216060040472</v>
      </c>
      <c r="V4" s="23" t="n">
        <f aca="false">IFERROR(IF(ISBLANK(INDEX(RAW_key_statistics!$CM$2:$CM$13,$AL4)),"",INDEX(RAW_key_statistics!$CM$2:$CM$13,$AL4)),"")</f>
        <v>488.062972474965</v>
      </c>
      <c r="W4" s="22" t="str">
        <f aca="false">IFERROR(IF(ISBLANK(INDEX(RAW_key_statistics!$CN$2:$CN$13,$AL4)),"",INDEX(RAW_key_statistics!$CN$2:$CN$13,$AL4)),"")</f>
        <v>FALSE</v>
      </c>
      <c r="X4" s="23" t="n">
        <f aca="false">IFERROR(IF(ISBLANK(INDEX(RAW_key_statistics!$CR$2:$CR$13,$AL4)),"",INDEX(RAW_key_statistics!$CR$2:$CR$13,$AL4)),"")</f>
        <v>3562.11615674289</v>
      </c>
      <c r="Y4" s="23" t="str">
        <f aca="false">IFERROR(IF(ISBLANK(INDEX(RAW_scores!$R$2:$R$13,$AM4)),"",INDEX(RAW_scores!$R$2:$R$13,$AM4)),"")</f>
        <v/>
      </c>
      <c r="Z4" s="23" t="str">
        <f aca="false">IFERROR(IF(ISBLANK(INDEX(RAW_scores!$S$2:$S$13,$AM4)),"",INDEX(RAW_scores!$S$2:$S$13,$AM4)),"")</f>
        <v/>
      </c>
      <c r="AA4" s="23" t="str">
        <f aca="false">IFERROR(IF(ISBLANK(INDEX(RAW_scores!$T$2:$T$13,$AM4)),"",INDEX(RAW_scores!$T$2:$T$13,$AM4)),"")</f>
        <v/>
      </c>
      <c r="AB4" s="23" t="n">
        <f aca="false">IFERROR(IF(ISBLANK(INDEX(RAW_scores!$X$2:$X$13,$AM4)),"",INDEX(RAW_scores!$X$2:$X$13,$AM4)),"")</f>
        <v>3562.11615674289</v>
      </c>
      <c r="AC4" s="26" t="n">
        <f aca="false">IFERROR(IF(ISBLANK(INDEX(RAW_scores!$Y$2:$Y$13,$AM4)),"",INDEX(RAW_scores!$Y$2:$Y$13,$AM4)),"")</f>
        <v>0.286940714947794</v>
      </c>
      <c r="AD4" s="26" t="n">
        <f aca="false">IFERROR(IF(ISBLANK(INDEX(RAW_scores!$Z$2:$Z$13,$AM4)),"",INDEX(RAW_scores!$Z$2:$Z$13,$AM4)),"")</f>
        <v>0.402407935725549</v>
      </c>
      <c r="AE4" s="28" t="n">
        <f aca="false">IFERROR(IF(ISBLANK(INDEX(RAW_scores!$F$2:$F$13,$AM4)),"",INDEX(RAW_scores!$F$2:$F$13,$AM4)),"")</f>
        <v>56.7</v>
      </c>
      <c r="AF4" s="28" t="n">
        <f aca="false">IFERROR(IF(ISBLANK(INDEX(RAW_scores!$G$2:$G$13,$AM4)),"",INDEX(RAW_scores!$G$2:$G$13,$AM4)),"")</f>
        <v>84.4</v>
      </c>
      <c r="AG4" s="28" t="n">
        <f aca="false">IFERROR(IF(ISBLANK(INDEX(RAW_scores!$H$2:$H$13,$AM4)),"",INDEX(RAW_scores!$H$2:$H$13,$AM4)),"")</f>
        <v>63.8</v>
      </c>
      <c r="AH4" s="28" t="n">
        <f aca="false">IFERROR(IF(ISBLANK(INDEX(RAW_scores!$I$2:$I$13,$AM4)),"",INDEX(RAW_scores!$I$2:$I$13,$AM4)),"")</f>
        <v>68.3</v>
      </c>
      <c r="AI4" s="22" t="str">
        <f aca="false">IFERROR(IF(ISBLANK(INDEX(RAW_scores!$AA$2:$AA$13,$AM4)),"",INDEX(RAW_scores!$AA$2:$AA$13,$AM4)),"")</f>
        <v>WATCH</v>
      </c>
      <c r="AJ4" s="28" t="n">
        <f aca="false">IFERROR(IF(ISBLANK(INDEX(RAW_scores!$AF$2:$AF$13,$AM4)),"",INDEX(RAW_scores!$AF$2:$AF$13,$AM4)),"")</f>
        <v>1.45</v>
      </c>
      <c r="AK4" s="22" t="str">
        <f aca="false">IFERROR(IF(ISBLANK(INDEX(RAW_scores!$AC$2:$AC$13,$AM4)),"",INDEX(RAW_scores!$AC$2:$AC$13,$AM4)),"")</f>
        <v/>
      </c>
      <c r="AL4" s="29" t="n">
        <f aca="false">IFERROR(MATCH($A4,RAW_key_statistics!$A$2:$A$13,0),"")</f>
        <v>3</v>
      </c>
      <c r="AM4" s="29" t="n">
        <f aca="false">IFERROR(MATCH($A4,RAW_scores!$A$2:$A$13,0),"")</f>
        <v>3</v>
      </c>
      <c r="AN4" s="29" t="n">
        <f aca="false">IFERROR(MATCH($A4,RAW_idx_stocks!$A$2:$A$13,0),"")</f>
        <v>3</v>
      </c>
      <c r="AO4" s="29" t="n">
        <f aca="false">IFERROR(MATCH($A4,RAW_analyses!$A$2:$A$13,0),"")</f>
        <v>3</v>
      </c>
    </row>
    <row r="5" customFormat="false" ht="15" hidden="false" customHeight="false" outlineLevel="0" collapsed="false">
      <c r="A5" s="21" t="s">
        <v>49</v>
      </c>
      <c r="B5" s="22" t="str">
        <f aca="false">IFERROR(IF(ISBLANK(INDEX(RAW_scores!$B$2:$B$13,$AM5)),"",INDEX(RAW_scores!$B$2:$B$13,$AM5)),"")</f>
        <v>Astra International Tbk.</v>
      </c>
      <c r="C5" s="22" t="str">
        <f aca="false">IFERROR(IF(ISBLANK(INDEX(RAW_scores!$C$2:$C$13,$AM5)),"",INDEX(RAW_scores!$C$2:$C$13,$AM5)),"")</f>
        <v>Industrials</v>
      </c>
      <c r="D5" s="22" t="str">
        <f aca="false">IFERROR(IF(ISBLANK(INDEX(RAW_scores!$D$2:$D$13,$AM5)),"",INDEX(RAW_scores!$D$2:$D$13,$AM5)),"")</f>
        <v>Cyclical</v>
      </c>
      <c r="E5" s="23" t="n">
        <f aca="false">IFERROR(IF(ISBLANK(INDEX(RAW_idx_stocks!$F$2:$F$13,$AN5)),"",INDEX(RAW_idx_stocks!$F$2:$F$13,$AN5)),"")</f>
        <v>5100</v>
      </c>
      <c r="F5" s="24" t="n">
        <f aca="false">IFERROR(IF(ISBLANK(INDEX(RAW_key_statistics!$BS$2:$BS$13,$AL5)),"",INDEX(RAW_key_statistics!$BS$2:$BS$13,$AL5)/1000000000),"")</f>
        <v>203592.321466368</v>
      </c>
      <c r="G5" s="25" t="n">
        <f aca="false">IFERROR(IF(ISBLANK(INDEX(RAW_key_statistics!$C$2:$C$13,$AL5)),"",INDEX(RAW_key_statistics!$C$2:$C$13,$AL5)),"")</f>
        <v>6.92208320767034</v>
      </c>
      <c r="H5" s="25" t="n">
        <f aca="false">IFERROR(IF(ISBLANK(INDEX(RAW_key_statistics!$H$2:$H$13,$AL5)),"",INDEX(RAW_key_statistics!$H$2:$H$13,$AL5)),"")</f>
        <v>0.884922332979815</v>
      </c>
      <c r="I5" s="25" t="n">
        <f aca="false">IFERROR(IF(ISBLANK(INDEX(RAW_key_statistics!$K$2:$K$13,$AL5)),"",INDEX(RAW_key_statistics!$K$2:$K$13,$AL5)),"")</f>
        <v>7.2353754663565</v>
      </c>
      <c r="J5" s="25" t="n">
        <f aca="false">IFERROR(IF(ISBLANK(INDEX(RAW_key_statistics!$L$2:$L$13,$AL5)),"",INDEX(RAW_key_statistics!$L$2:$L$13,$AL5)),"")</f>
        <v>7.2353754663565</v>
      </c>
      <c r="K5" s="26" t="n">
        <f aca="false">IFERROR(IF(ISBLANK(INDEX(RAW_key_statistics!$AZ$2:$AZ$13,$AL5)),"",INDEX(RAW_key_statistics!$AZ$2:$AZ$13,$AL5)),"")</f>
        <v>0.0765</v>
      </c>
      <c r="L5" s="26" t="n">
        <f aca="false">IFERROR(IF(ISBLANK(INDEX(RAW_key_statistics!$AG$2:$AG$13,$AL5)),"",INDEX(RAW_key_statistics!$AG$2:$AG$13,$AL5)),"")</f>
        <v>0.127840464558305</v>
      </c>
      <c r="M5" s="26" t="n">
        <f aca="false">IFERROR(IF(ISBLANK(INDEX(RAW_key_statistics!$AI$2:$AI$13,$AL5)),"",INDEX(RAW_key_statistics!$AI$2:$AI$13,$AL5)),"")</f>
        <v>0.107603452365276</v>
      </c>
      <c r="N5" s="26" t="n">
        <f aca="false">IFERROR(IF(ISBLANK(INDEX(RAW_key_statistics!$CI$2:$CI$13,$AL5)),"",INDEX(RAW_key_statistics!$CI$2:$CI$13,$AL5)),"")</f>
        <v>0.140603310278631</v>
      </c>
      <c r="O5" s="26" t="n">
        <f aca="false">IFERROR(IF(ISBLANK(INDEX(RAW_key_statistics!$CH$2:$CH$13,$AL5)),"",INDEX(RAW_key_statistics!$CH$2:$CH$13,$AL5)),"")</f>
        <v>0.138209828176832</v>
      </c>
      <c r="P5" s="26" t="n">
        <f aca="false">IFERROR(IF(ISBLANK(INDEX(RAW_key_statistics!$CK$2:$CK$13,$AL5)),"",INDEX(RAW_key_statistics!$CK$2:$CK$13,$AL5)),"")</f>
        <v>0.105112019185533</v>
      </c>
      <c r="Q5" s="27" t="n">
        <f aca="false">IFERROR(IF(ISBLANK(INDEX(RAW_key_statistics!$BB$2:$BB$13,$AL5)),"",INDEX(RAW_key_statistics!$BB$2:$BB$13,$AL5)),"")</f>
        <v>3</v>
      </c>
      <c r="R5" s="28" t="n">
        <f aca="false">IFERROR(IF(ISBLANK(INDEX(RAW_key_statistics!$AE$2:$AE$13,$AL5)),"",INDEX(RAW_key_statistics!$AE$2:$AE$13,$AL5)),"")</f>
        <v>3.44111877086024</v>
      </c>
      <c r="S5" s="25" t="n">
        <f aca="false">IFERROR(IF(ISBLANK(INDEX(RAW_key_statistics!$V$2:$V$13,$AL5)),"",INDEX(RAW_key_statistics!$V$2:$V$13,$AL5)),"")</f>
        <v>1.18667187530019</v>
      </c>
      <c r="T5" s="25" t="n">
        <f aca="false">IFERROR(IF(ISBLANK(INDEX(RAW_analyses!$N$2:$N$13,$AO5)),"",INDEX(RAW_analyses!$N$2:$N$13,$AO5)),"")</f>
        <v>0.317506128622842</v>
      </c>
      <c r="U5" s="26" t="n">
        <f aca="false">IFERROR(IF(ISBLANK(INDEX(RAW_key_statistics!$CS$2:$CS$13,$AL5)),"",INDEX(RAW_key_statistics!$CS$2:$CS$13,$AL5)),"")</f>
        <v>0.0237771407229143</v>
      </c>
      <c r="V5" s="23" t="n">
        <f aca="false">IFERROR(IF(ISBLANK(INDEX(RAW_key_statistics!$CM$2:$CM$13,$AL5)),"",INDEX(RAW_key_statistics!$CM$2:$CM$13,$AL5)),"")</f>
        <v>-986.296087086344</v>
      </c>
      <c r="W5" s="22" t="str">
        <f aca="false">IFERROR(IF(ISBLANK(INDEX(RAW_key_statistics!$CN$2:$CN$13,$AL5)),"",INDEX(RAW_key_statistics!$CN$2:$CN$13,$AL5)),"")</f>
        <v>FALSE</v>
      </c>
      <c r="X5" s="23" t="n">
        <f aca="false">IFERROR(IF(ISBLANK(INDEX(RAW_key_statistics!$CR$2:$CR$13,$AL5)),"",INDEX(RAW_key_statistics!$CR$2:$CR$13,$AL5)),"")</f>
        <v>6454.22015027549</v>
      </c>
      <c r="Y5" s="23" t="n">
        <f aca="false">IFERROR(IF(ISBLANK(INDEX(RAW_scores!$R$2:$R$13,$AM5)),"",INDEX(RAW_scores!$R$2:$R$13,$AM5)),"")</f>
        <v>3227.16986729277</v>
      </c>
      <c r="Z5" s="23" t="n">
        <f aca="false">IFERROR(IF(ISBLANK(INDEX(RAW_scores!$S$2:$S$13,$AM5)),"",INDEX(RAW_scores!$S$2:$S$13,$AM5)),"")</f>
        <v>6159.58966246342</v>
      </c>
      <c r="AA5" s="23" t="n">
        <f aca="false">IFERROR(IF(ISBLANK(INDEX(RAW_scores!$T$2:$T$13,$AM5)),"",INDEX(RAW_scores!$T$2:$T$13,$AM5)),"")</f>
        <v>9320.03166534804</v>
      </c>
      <c r="AB5" s="23" t="n">
        <f aca="false">IFERROR(IF(ISBLANK(INDEX(RAW_scores!$X$2:$X$13,$AM5)),"",INDEX(RAW_scores!$X$2:$X$13,$AM5)),"")</f>
        <v>6370.04001090061</v>
      </c>
      <c r="AC5" s="26" t="n">
        <f aca="false">IFERROR(IF(ISBLANK(INDEX(RAW_scores!$Y$2:$Y$13,$AM5)),"",INDEX(RAW_scores!$Y$2:$Y$13,$AM5)),"")</f>
        <v>0.199377085344406</v>
      </c>
      <c r="AD5" s="26" t="n">
        <f aca="false">IFERROR(IF(ISBLANK(INDEX(RAW_scores!$Z$2:$Z$13,$AM5)),"",INDEX(RAW_scores!$Z$2:$Z$13,$AM5)),"")</f>
        <v>0.249027453117767</v>
      </c>
      <c r="AE5" s="28" t="n">
        <f aca="false">IFERROR(IF(ISBLANK(INDEX(RAW_scores!$F$2:$F$13,$AM5)),"",INDEX(RAW_scores!$F$2:$F$13,$AM5)),"")</f>
        <v>51.7</v>
      </c>
      <c r="AF5" s="28" t="n">
        <f aca="false">IFERROR(IF(ISBLANK(INDEX(RAW_scores!$G$2:$G$13,$AM5)),"",INDEX(RAW_scores!$G$2:$G$13,$AM5)),"")</f>
        <v>70.7</v>
      </c>
      <c r="AG5" s="28" t="n">
        <f aca="false">IFERROR(IF(ISBLANK(INDEX(RAW_scores!$H$2:$H$13,$AM5)),"",INDEX(RAW_scores!$H$2:$H$13,$AM5)),"")</f>
        <v>80.5</v>
      </c>
      <c r="AH5" s="28" t="n">
        <f aca="false">IFERROR(IF(ISBLANK(INDEX(RAW_scores!$I$2:$I$13,$AM5)),"",INDEX(RAW_scores!$I$2:$I$13,$AM5)),"")</f>
        <v>67.6</v>
      </c>
      <c r="AI5" s="22" t="str">
        <f aca="false">IFERROR(IF(ISBLANK(INDEX(RAW_scores!$AA$2:$AA$13,$AM5)),"",INDEX(RAW_scores!$AA$2:$AA$13,$AM5)),"")</f>
        <v>WATCH</v>
      </c>
      <c r="AJ5" s="28" t="n">
        <f aca="false">IFERROR(IF(ISBLANK(INDEX(RAW_scores!$AF$2:$AF$13,$AM5)),"",INDEX(RAW_scores!$AF$2:$AF$13,$AM5)),"")</f>
        <v>0.45</v>
      </c>
      <c r="AK5" s="22" t="str">
        <f aca="false">IFERROR(IF(ISBLANK(INDEX(RAW_scores!$AC$2:$AC$13,$AM5)),"",INDEX(RAW_scores!$AC$2:$AC$13,$AM5)),"")</f>
        <v/>
      </c>
      <c r="AL5" s="29" t="n">
        <f aca="false">IFERROR(MATCH($A5,RAW_key_statistics!$A$2:$A$13,0),"")</f>
        <v>4</v>
      </c>
      <c r="AM5" s="29" t="n">
        <f aca="false">IFERROR(MATCH($A5,RAW_scores!$A$2:$A$13,0),"")</f>
        <v>4</v>
      </c>
      <c r="AN5" s="29" t="n">
        <f aca="false">IFERROR(MATCH($A5,RAW_idx_stocks!$A$2:$A$13,0),"")</f>
        <v>4</v>
      </c>
      <c r="AO5" s="29" t="n">
        <f aca="false">IFERROR(MATCH($A5,RAW_analyses!$A$2:$A$13,0),"")</f>
        <v>4</v>
      </c>
    </row>
    <row r="6" customFormat="false" ht="15" hidden="false" customHeight="false" outlineLevel="0" collapsed="false">
      <c r="A6" s="21" t="s">
        <v>80</v>
      </c>
      <c r="B6" s="22" t="str">
        <f aca="false">IFERROR(IF(ISBLANK(INDEX(RAW_scores!$B$2:$B$13,$AM6)),"",INDEX(RAW_scores!$B$2:$B$13,$AM6)),"")</f>
        <v>Bank Central Asia Tbk.</v>
      </c>
      <c r="C6" s="22" t="str">
        <f aca="false">IFERROR(IF(ISBLANK(INDEX(RAW_scores!$C$2:$C$13,$AM6)),"",INDEX(RAW_scores!$C$2:$C$13,$AM6)),"")</f>
        <v>Financials</v>
      </c>
      <c r="D6" s="22" t="str">
        <f aca="false">IFERROR(IF(ISBLANK(INDEX(RAW_scores!$D$2:$D$13,$AM6)),"",INDEX(RAW_scores!$D$2:$D$13,$AM6)),"")</f>
        <v>Financial</v>
      </c>
      <c r="E6" s="23" t="n">
        <f aca="false">IFERROR(IF(ISBLANK(INDEX(RAW_idx_stocks!$F$2:$F$13,$AN6)),"",INDEX(RAW_idx_stocks!$F$2:$F$13,$AN6)),"")</f>
        <v>6375</v>
      </c>
      <c r="F6" s="24" t="n">
        <f aca="false">IFERROR(IF(ISBLANK(INDEX(RAW_key_statistics!$BS$2:$BS$13,$AL6)),"",INDEX(RAW_key_statistics!$BS$2:$BS$13,$AL6)/1000000000),"")</f>
        <v>783116.15102976</v>
      </c>
      <c r="G6" s="25" t="n">
        <f aca="false">IFERROR(IF(ISBLANK(INDEX(RAW_key_statistics!$C$2:$C$13,$AL6)),"",INDEX(RAW_key_statistics!$C$2:$C$13,$AL6)),"")</f>
        <v>13.3764027965192</v>
      </c>
      <c r="H6" s="25" t="n">
        <f aca="false">IFERROR(IF(ISBLANK(INDEX(RAW_key_statistics!$H$2:$H$13,$AL6)),"",INDEX(RAW_key_statistics!$H$2:$H$13,$AL6)),"")</f>
        <v>2.89573761043044</v>
      </c>
      <c r="I6" s="25" t="str">
        <f aca="false">IFERROR(IF(ISBLANK(INDEX(RAW_key_statistics!$K$2:$K$13,$AL6)),"",INDEX(RAW_key_statistics!$K$2:$K$13,$AL6)),"")</f>
        <v/>
      </c>
      <c r="J6" s="25" t="str">
        <f aca="false">IFERROR(IF(ISBLANK(INDEX(RAW_key_statistics!$L$2:$L$13,$AL6)),"",INDEX(RAW_key_statistics!$L$2:$L$13,$AL6)),"")</f>
        <v/>
      </c>
      <c r="K6" s="26" t="n">
        <f aca="false">IFERROR(IF(ISBLANK(INDEX(RAW_key_statistics!$AZ$2:$AZ$13,$AL6)),"",INDEX(RAW_key_statistics!$AZ$2:$AZ$13,$AL6)),"")</f>
        <v>0.0558</v>
      </c>
      <c r="L6" s="26" t="n">
        <f aca="false">IFERROR(IF(ISBLANK(INDEX(RAW_key_statistics!$AG$2:$AG$13,$AL6)),"",INDEX(RAW_key_statistics!$AG$2:$AG$13,$AL6)),"")</f>
        <v>0.216481041613368</v>
      </c>
      <c r="M6" s="26" t="str">
        <f aca="false">IFERROR(IF(ISBLANK(INDEX(RAW_key_statistics!$AI$2:$AI$13,$AL6)),"",INDEX(RAW_key_statistics!$AI$2:$AI$13,$AL6)),"")</f>
        <v/>
      </c>
      <c r="N6" s="26" t="str">
        <f aca="false">IFERROR(IF(ISBLANK(INDEX(RAW_key_statistics!$CI$2:$CI$13,$AL6)),"",INDEX(RAW_key_statistics!$CI$2:$CI$13,$AL6)),"")</f>
        <v/>
      </c>
      <c r="O6" s="26" t="str">
        <f aca="false">IFERROR(IF(ISBLANK(INDEX(RAW_key_statistics!$CH$2:$CH$13,$AL6)),"",INDEX(RAW_key_statistics!$CH$2:$CH$13,$AL6)),"")</f>
        <v/>
      </c>
      <c r="P6" s="26" t="n">
        <f aca="false">IFERROR(IF(ISBLANK(INDEX(RAW_key_statistics!$CK$2:$CK$13,$AL6)),"",INDEX(RAW_key_statistics!$CK$2:$CK$13,$AL6)),"")</f>
        <v>0.0597946383029208</v>
      </c>
      <c r="Q6" s="27" t="n">
        <f aca="false">IFERROR(IF(ISBLANK(INDEX(RAW_key_statistics!$BB$2:$BB$13,$AL6)),"",INDEX(RAW_key_statistics!$BB$2:$BB$13,$AL6)),"")</f>
        <v>5</v>
      </c>
      <c r="R6" s="28" t="str">
        <f aca="false">IFERROR(IF(ISBLANK(INDEX(RAW_key_statistics!$AE$2:$AE$13,$AL6)),"",INDEX(RAW_key_statistics!$AE$2:$AE$13,$AL6)),"")</f>
        <v/>
      </c>
      <c r="S6" s="25" t="str">
        <f aca="false">IFERROR(IF(ISBLANK(INDEX(RAW_key_statistics!$V$2:$V$13,$AL6)),"",INDEX(RAW_key_statistics!$V$2:$V$13,$AL6)),"")</f>
        <v/>
      </c>
      <c r="T6" s="25" t="n">
        <f aca="false">IFERROR(IF(ISBLANK(INDEX(RAW_analyses!$N$2:$N$13,$AO6)),"",INDEX(RAW_analyses!$N$2:$N$13,$AO6)),"")</f>
        <v>-0.345830109098425</v>
      </c>
      <c r="U6" s="26" t="n">
        <f aca="false">IFERROR(IF(ISBLANK(INDEX(RAW_key_statistics!$CS$2:$CS$13,$AL6)),"",INDEX(RAW_key_statistics!$CS$2:$CS$13,$AL6)),"")</f>
        <v>0.0849122066373095</v>
      </c>
      <c r="V6" s="23" t="str">
        <f aca="false">IFERROR(IF(ISBLANK(INDEX(RAW_key_statistics!$CM$2:$CM$13,$AL6)),"",INDEX(RAW_key_statistics!$CM$2:$CM$13,$AL6)),"")</f>
        <v/>
      </c>
      <c r="W6" s="22" t="str">
        <f aca="false">IFERROR(IF(ISBLANK(INDEX(RAW_key_statistics!$CN$2:$CN$13,$AL6)),"",INDEX(RAW_key_statistics!$CN$2:$CN$13,$AL6)),"")</f>
        <v>FALSE</v>
      </c>
      <c r="X6" s="23" t="str">
        <f aca="false">IFERROR(IF(ISBLANK(INDEX(RAW_key_statistics!$CR$2:$CR$13,$AL6)),"",INDEX(RAW_key_statistics!$CR$2:$CR$13,$AL6)),"")</f>
        <v/>
      </c>
      <c r="Y6" s="23" t="n">
        <f aca="false">IFERROR(IF(ISBLANK(INDEX(RAW_scores!$R$2:$R$13,$AM6)),"",INDEX(RAW_scores!$R$2:$R$13,$AM6)),"")</f>
        <v>4198.49722427537</v>
      </c>
      <c r="Z6" s="23" t="n">
        <f aca="false">IFERROR(IF(ISBLANK(INDEX(RAW_scores!$S$2:$S$13,$AM6)),"",INDEX(RAW_scores!$S$2:$S$13,$AM6)),"")</f>
        <v>6216.14074422079</v>
      </c>
      <c r="AA6" s="23" t="n">
        <f aca="false">IFERROR(IF(ISBLANK(INDEX(RAW_scores!$T$2:$T$13,$AM6)),"",INDEX(RAW_scores!$T$2:$T$13,$AM6)),"")</f>
        <v>8368.91934494784</v>
      </c>
      <c r="AB6" s="23" t="n">
        <f aca="false">IFERROR(IF(ISBLANK(INDEX(RAW_scores!$X$2:$X$13,$AM6)),"",INDEX(RAW_scores!$X$2:$X$13,$AM6)),"")</f>
        <v>5235.85639637258</v>
      </c>
      <c r="AC6" s="26" t="n">
        <f aca="false">IFERROR(IF(ISBLANK(INDEX(RAW_scores!$Y$2:$Y$13,$AM6)),"",INDEX(RAW_scores!$Y$2:$Y$13,$AM6)),"")</f>
        <v>-0.217565860747561</v>
      </c>
      <c r="AD6" s="26" t="n">
        <f aca="false">IFERROR(IF(ISBLANK(INDEX(RAW_scores!$Z$2:$Z$13,$AM6)),"",INDEX(RAW_scores!$Z$2:$Z$13,$AM6)),"")</f>
        <v>-0.17868919272587</v>
      </c>
      <c r="AE6" s="28" t="n">
        <f aca="false">IFERROR(IF(ISBLANK(INDEX(RAW_scores!$F$2:$F$13,$AM6)),"",INDEX(RAW_scores!$F$2:$F$13,$AM6)),"")</f>
        <v>78.3</v>
      </c>
      <c r="AF6" s="28" t="n">
        <f aca="false">IFERROR(IF(ISBLANK(INDEX(RAW_scores!$G$2:$G$13,$AM6)),"",INDEX(RAW_scores!$G$2:$G$13,$AM6)),"")</f>
        <v>77.8</v>
      </c>
      <c r="AG6" s="28" t="n">
        <f aca="false">IFERROR(IF(ISBLANK(INDEX(RAW_scores!$H$2:$H$13,$AM6)),"",INDEX(RAW_scores!$H$2:$H$13,$AM6)),"")</f>
        <v>30</v>
      </c>
      <c r="AH6" s="28" t="n">
        <f aca="false">IFERROR(IF(ISBLANK(INDEX(RAW_scores!$I$2:$I$13,$AM6)),"",INDEX(RAW_scores!$I$2:$I$13,$AM6)),"")</f>
        <v>62</v>
      </c>
      <c r="AI6" s="22" t="str">
        <f aca="false">IFERROR(IF(ISBLANK(INDEX(RAW_scores!$AA$2:$AA$13,$AM6)),"",INDEX(RAW_scores!$AA$2:$AA$13,$AM6)),"")</f>
        <v>SKIP</v>
      </c>
      <c r="AJ6" s="28" t="n">
        <f aca="false">IFERROR(IF(ISBLANK(INDEX(RAW_scores!$AF$2:$AF$13,$AM6)),"",INDEX(RAW_scores!$AF$2:$AF$13,$AM6)),"")</f>
        <v>0.45</v>
      </c>
      <c r="AK6" s="22" t="str">
        <f aca="false">IFERROR(IF(ISBLANK(INDEX(RAW_scores!$AC$2:$AC$13,$AM6)),"",INDEX(RAW_scores!$AC$2:$AC$13,$AM6)),"")</f>
        <v/>
      </c>
      <c r="AL6" s="29" t="n">
        <f aca="false">IFERROR(MATCH($A6,RAW_key_statistics!$A$2:$A$13,0),"")</f>
        <v>5</v>
      </c>
      <c r="AM6" s="29" t="n">
        <f aca="false">IFERROR(MATCH($A6,RAW_scores!$A$2:$A$13,0),"")</f>
        <v>5</v>
      </c>
      <c r="AN6" s="29" t="n">
        <f aca="false">IFERROR(MATCH($A6,RAW_idx_stocks!$A$2:$A$13,0),"")</f>
        <v>5</v>
      </c>
      <c r="AO6" s="29" t="n">
        <f aca="false">IFERROR(MATCH($A6,RAW_analyses!$A$2:$A$13,0),"")</f>
        <v>5</v>
      </c>
    </row>
    <row r="7" customFormat="false" ht="15" hidden="false" customHeight="false" outlineLevel="0" collapsed="false">
      <c r="A7" s="21" t="s">
        <v>81</v>
      </c>
      <c r="B7" s="22" t="str">
        <f aca="false">IFERROR(IF(ISBLANK(INDEX(RAW_scores!$B$2:$B$13,$AM7)),"",INDEX(RAW_scores!$B$2:$B$13,$AM7)),"")</f>
        <v>Bank Rakyat Indonesia (Persero) Tbk.</v>
      </c>
      <c r="C7" s="22" t="str">
        <f aca="false">IFERROR(IF(ISBLANK(INDEX(RAW_scores!$C$2:$C$13,$AM7)),"",INDEX(RAW_scores!$C$2:$C$13,$AM7)),"")</f>
        <v>Financials</v>
      </c>
      <c r="D7" s="22" t="str">
        <f aca="false">IFERROR(IF(ISBLANK(INDEX(RAW_scores!$D$2:$D$13,$AM7)),"",INDEX(RAW_scores!$D$2:$D$13,$AM7)),"")</f>
        <v>Financial</v>
      </c>
      <c r="E7" s="23" t="n">
        <f aca="false">IFERROR(IF(ISBLANK(INDEX(RAW_idx_stocks!$F$2:$F$13,$AN7)),"",INDEX(RAW_idx_stocks!$F$2:$F$13,$AN7)),"")</f>
        <v>3130</v>
      </c>
      <c r="F7" s="24" t="n">
        <f aca="false">IFERROR(IF(ISBLANK(INDEX(RAW_key_statistics!$BS$2:$BS$13,$AL7)),"",INDEX(RAW_key_statistics!$BS$2:$BS$13,$AL7)/1000000000),"")</f>
        <v>471299.51207424</v>
      </c>
      <c r="G7" s="25" t="n">
        <f aca="false">IFERROR(IF(ISBLANK(INDEX(RAW_key_statistics!$C$2:$C$13,$AL7)),"",INDEX(RAW_key_statistics!$C$2:$C$13,$AL7)),"")</f>
        <v>8.18352101322806</v>
      </c>
      <c r="H7" s="25" t="n">
        <f aca="false">IFERROR(IF(ISBLANK(INDEX(RAW_key_statistics!$H$2:$H$13,$AL7)),"",INDEX(RAW_key_statistics!$H$2:$H$13,$AL7)),"")</f>
        <v>1.39353816471835</v>
      </c>
      <c r="I7" s="25" t="str">
        <f aca="false">IFERROR(IF(ISBLANK(INDEX(RAW_key_statistics!$K$2:$K$13,$AL7)),"",INDEX(RAW_key_statistics!$K$2:$K$13,$AL7)),"")</f>
        <v/>
      </c>
      <c r="J7" s="25" t="str">
        <f aca="false">IFERROR(IF(ISBLANK(INDEX(RAW_key_statistics!$L$2:$L$13,$AL7)),"",INDEX(RAW_key_statistics!$L$2:$L$13,$AL7)),"")</f>
        <v/>
      </c>
      <c r="K7" s="26" t="n">
        <f aca="false">IFERROR(IF(ISBLANK(INDEX(RAW_key_statistics!$AZ$2:$AZ$13,$AL7)),"",INDEX(RAW_key_statistics!$AZ$2:$AZ$13,$AL7)),"")</f>
        <v>0.13350001</v>
      </c>
      <c r="L7" s="26" t="n">
        <f aca="false">IFERROR(IF(ISBLANK(INDEX(RAW_key_statistics!$AG$2:$AG$13,$AL7)),"",INDEX(RAW_key_statistics!$AG$2:$AG$13,$AL7)),"")</f>
        <v>0.170285890690058</v>
      </c>
      <c r="M7" s="26" t="str">
        <f aca="false">IFERROR(IF(ISBLANK(INDEX(RAW_key_statistics!$AI$2:$AI$13,$AL7)),"",INDEX(RAW_key_statistics!$AI$2:$AI$13,$AL7)),"")</f>
        <v/>
      </c>
      <c r="N7" s="26" t="str">
        <f aca="false">IFERROR(IF(ISBLANK(INDEX(RAW_key_statistics!$CI$2:$CI$13,$AL7)),"",INDEX(RAW_key_statistics!$CI$2:$CI$13,$AL7)),"")</f>
        <v/>
      </c>
      <c r="O7" s="26" t="str">
        <f aca="false">IFERROR(IF(ISBLANK(INDEX(RAW_key_statistics!$CH$2:$CH$13,$AL7)),"",INDEX(RAW_key_statistics!$CH$2:$CH$13,$AL7)),"")</f>
        <v/>
      </c>
      <c r="P7" s="26" t="n">
        <f aca="false">IFERROR(IF(ISBLANK(INDEX(RAW_key_statistics!$CK$2:$CK$13,$AL7)),"",INDEX(RAW_key_statistics!$CK$2:$CK$13,$AL7)),"")</f>
        <v>0.0720225315969625</v>
      </c>
      <c r="Q7" s="27" t="n">
        <f aca="false">IFERROR(IF(ISBLANK(INDEX(RAW_key_statistics!$BB$2:$BB$13,$AL7)),"",INDEX(RAW_key_statistics!$BB$2:$BB$13,$AL7)),"")</f>
        <v>5</v>
      </c>
      <c r="R7" s="28" t="str">
        <f aca="false">IFERROR(IF(ISBLANK(INDEX(RAW_key_statistics!$AE$2:$AE$13,$AL7)),"",INDEX(RAW_key_statistics!$AE$2:$AE$13,$AL7)),"")</f>
        <v/>
      </c>
      <c r="S7" s="25" t="str">
        <f aca="false">IFERROR(IF(ISBLANK(INDEX(RAW_key_statistics!$V$2:$V$13,$AL7)),"",INDEX(RAW_key_statistics!$V$2:$V$13,$AL7)),"")</f>
        <v/>
      </c>
      <c r="T7" s="25" t="n">
        <f aca="false">IFERROR(IF(ISBLANK(INDEX(RAW_analyses!$N$2:$N$13,$AO7)),"",INDEX(RAW_analyses!$N$2:$N$13,$AO7)),"")</f>
        <v>0.0762411413993292</v>
      </c>
      <c r="U7" s="26" t="n">
        <f aca="false">IFERROR(IF(ISBLANK(INDEX(RAW_key_statistics!$CS$2:$CS$13,$AL7)),"",INDEX(RAW_key_statistics!$CS$2:$CS$13,$AL7)),"")</f>
        <v>0.067124964167998</v>
      </c>
      <c r="V7" s="23" t="str">
        <f aca="false">IFERROR(IF(ISBLANK(INDEX(RAW_key_statistics!$CM$2:$CM$13,$AL7)),"",INDEX(RAW_key_statistics!$CM$2:$CM$13,$AL7)),"")</f>
        <v/>
      </c>
      <c r="W7" s="22" t="str">
        <f aca="false">IFERROR(IF(ISBLANK(INDEX(RAW_key_statistics!$CN$2:$CN$13,$AL7)),"",INDEX(RAW_key_statistics!$CN$2:$CN$13,$AL7)),"")</f>
        <v>FALSE</v>
      </c>
      <c r="X7" s="23" t="str">
        <f aca="false">IFERROR(IF(ISBLANK(INDEX(RAW_key_statistics!$CR$2:$CR$13,$AL7)),"",INDEX(RAW_key_statistics!$CR$2:$CR$13,$AL7)),"")</f>
        <v/>
      </c>
      <c r="Y7" s="23" t="n">
        <f aca="false">IFERROR(IF(ISBLANK(INDEX(RAW_scores!$R$2:$R$13,$AM7)),"",INDEX(RAW_scores!$R$2:$R$13,$AM7)),"")</f>
        <v>1723.13766993883</v>
      </c>
      <c r="Z7" s="23" t="n">
        <f aca="false">IFERROR(IF(ISBLANK(INDEX(RAW_scores!$S$2:$S$13,$AM7)),"",INDEX(RAW_scores!$S$2:$S$13,$AM7)),"")</f>
        <v>2831.75686825836</v>
      </c>
      <c r="AA7" s="23" t="n">
        <f aca="false">IFERROR(IF(ISBLANK(INDEX(RAW_scores!$T$2:$T$13,$AM7)),"",INDEX(RAW_scores!$T$2:$T$13,$AM7)),"")</f>
        <v>4018.0413158113</v>
      </c>
      <c r="AB7" s="23" t="n">
        <f aca="false">IFERROR(IF(ISBLANK(INDEX(RAW_scores!$X$2:$X$13,$AM7)),"",INDEX(RAW_scores!$X$2:$X$13,$AM7)),"")</f>
        <v>3737.47718359117</v>
      </c>
      <c r="AC7" s="26" t="n">
        <f aca="false">IFERROR(IF(ISBLANK(INDEX(RAW_scores!$Y$2:$Y$13,$AM7)),"",INDEX(RAW_scores!$Y$2:$Y$13,$AM7)),"")</f>
        <v>0.162536693537076</v>
      </c>
      <c r="AD7" s="26" t="n">
        <f aca="false">IFERROR(IF(ISBLANK(INDEX(RAW_scores!$Z$2:$Z$13,$AM7)),"",INDEX(RAW_scores!$Z$2:$Z$13,$AM7)),"")</f>
        <v>0.194082167281525</v>
      </c>
      <c r="AE7" s="28" t="n">
        <f aca="false">IFERROR(IF(ISBLANK(INDEX(RAW_scores!$F$2:$F$13,$AM7)),"",INDEX(RAW_scores!$F$2:$F$13,$AM7)),"")</f>
        <v>65</v>
      </c>
      <c r="AF7" s="28" t="n">
        <f aca="false">IFERROR(IF(ISBLANK(INDEX(RAW_scores!$G$2:$G$13,$AM7)),"",INDEX(RAW_scores!$G$2:$G$13,$AM7)),"")</f>
        <v>77.8</v>
      </c>
      <c r="AG7" s="28" t="n">
        <f aca="false">IFERROR(IF(ISBLANK(INDEX(RAW_scores!$H$2:$H$13,$AM7)),"",INDEX(RAW_scores!$H$2:$H$13,$AM7)),"")</f>
        <v>75</v>
      </c>
      <c r="AH7" s="28" t="n">
        <f aca="false">IFERROR(IF(ISBLANK(INDEX(RAW_scores!$I$2:$I$13,$AM7)),"",INDEX(RAW_scores!$I$2:$I$13,$AM7)),"")</f>
        <v>72.6</v>
      </c>
      <c r="AI7" s="22" t="str">
        <f aca="false">IFERROR(IF(ISBLANK(INDEX(RAW_scores!$AA$2:$AA$13,$AM7)),"",INDEX(RAW_scores!$AA$2:$AA$13,$AM7)),"")</f>
        <v>WATCH</v>
      </c>
      <c r="AJ7" s="28" t="n">
        <f aca="false">IFERROR(IF(ISBLANK(INDEX(RAW_scores!$AF$2:$AF$13,$AM7)),"",INDEX(RAW_scores!$AF$2:$AF$13,$AM7)),"")</f>
        <v>1.45</v>
      </c>
      <c r="AK7" s="22" t="str">
        <f aca="false">IFERROR(IF(ISBLANK(INDEX(RAW_scores!$AC$2:$AC$13,$AM7)),"",INDEX(RAW_scores!$AC$2:$AC$13,$AM7)),"")</f>
        <v/>
      </c>
      <c r="AL7" s="29" t="n">
        <f aca="false">IFERROR(MATCH($A7,RAW_key_statistics!$A$2:$A$13,0),"")</f>
        <v>6</v>
      </c>
      <c r="AM7" s="29" t="n">
        <f aca="false">IFERROR(MATCH($A7,RAW_scores!$A$2:$A$13,0),"")</f>
        <v>6</v>
      </c>
      <c r="AN7" s="29" t="n">
        <f aca="false">IFERROR(MATCH($A7,RAW_idx_stocks!$A$2:$A$13,0),"")</f>
        <v>6</v>
      </c>
      <c r="AO7" s="29" t="n">
        <f aca="false">IFERROR(MATCH($A7,RAW_analyses!$A$2:$A$13,0),"")</f>
        <v>6</v>
      </c>
    </row>
    <row r="8" customFormat="false" ht="15" hidden="false" customHeight="false" outlineLevel="0" collapsed="false">
      <c r="A8" s="21" t="s">
        <v>38</v>
      </c>
      <c r="B8" s="22" t="str">
        <f aca="false">IFERROR(IF(ISBLANK(INDEX(RAW_scores!$B$2:$B$13,$AM8)),"",INDEX(RAW_scores!$B$2:$B$13,$AM8)),"")</f>
        <v>Bank Mandiri (Persero) Tbk.</v>
      </c>
      <c r="C8" s="22" t="str">
        <f aca="false">IFERROR(IF(ISBLANK(INDEX(RAW_scores!$C$2:$C$13,$AM8)),"",INDEX(RAW_scores!$C$2:$C$13,$AM8)),"")</f>
        <v>Financials</v>
      </c>
      <c r="D8" s="22" t="str">
        <f aca="false">IFERROR(IF(ISBLANK(INDEX(RAW_scores!$D$2:$D$13,$AM8)),"",INDEX(RAW_scores!$D$2:$D$13,$AM8)),"")</f>
        <v>Financial</v>
      </c>
      <c r="E8" s="23" t="n">
        <f aca="false">IFERROR(IF(ISBLANK(INDEX(RAW_idx_stocks!$F$2:$F$13,$AN8)),"",INDEX(RAW_idx_stocks!$F$2:$F$13,$AN8)),"")</f>
        <v>4240</v>
      </c>
      <c r="F8" s="24" t="n">
        <f aca="false">IFERROR(IF(ISBLANK(INDEX(RAW_key_statistics!$BS$2:$BS$13,$AL8)),"",INDEX(RAW_key_statistics!$BS$2:$BS$13,$AL8)/1000000000),"")</f>
        <v>394206.929485824</v>
      </c>
      <c r="G8" s="25" t="n">
        <f aca="false">IFERROR(IF(ISBLANK(INDEX(RAW_key_statistics!$C$2:$C$13,$AL8)),"",INDEX(RAW_key_statistics!$C$2:$C$13,$AL8)),"")</f>
        <v>6.51043340169058</v>
      </c>
      <c r="H8" s="25" t="n">
        <f aca="false">IFERROR(IF(ISBLANK(INDEX(RAW_key_statistics!$H$2:$H$13,$AL8)),"",INDEX(RAW_key_statistics!$H$2:$H$13,$AL8)),"")</f>
        <v>1.37792766317783</v>
      </c>
      <c r="I8" s="25" t="str">
        <f aca="false">IFERROR(IF(ISBLANK(INDEX(RAW_key_statistics!$K$2:$K$13,$AL8)),"",INDEX(RAW_key_statistics!$K$2:$K$13,$AL8)),"")</f>
        <v/>
      </c>
      <c r="J8" s="25" t="str">
        <f aca="false">IFERROR(IF(ISBLANK(INDEX(RAW_key_statistics!$L$2:$L$13,$AL8)),"",INDEX(RAW_key_statistics!$L$2:$L$13,$AL8)),"")</f>
        <v/>
      </c>
      <c r="K8" s="26" t="n">
        <f aca="false">IFERROR(IF(ISBLANK(INDEX(RAW_key_statistics!$AZ$2:$AZ$13,$AL8)),"",INDEX(RAW_key_statistics!$AZ$2:$AZ$13,$AL8)),"")</f>
        <v>0.1125</v>
      </c>
      <c r="L8" s="26" t="n">
        <f aca="false">IFERROR(IF(ISBLANK(INDEX(RAW_key_statistics!$AG$2:$AG$13,$AL8)),"",INDEX(RAW_key_statistics!$AG$2:$AG$13,$AL8)),"")</f>
        <v>0.211649145020056</v>
      </c>
      <c r="M8" s="26" t="str">
        <f aca="false">IFERROR(IF(ISBLANK(INDEX(RAW_key_statistics!$AI$2:$AI$13,$AL8)),"",INDEX(RAW_key_statistics!$AI$2:$AI$13,$AL8)),"")</f>
        <v/>
      </c>
      <c r="N8" s="26" t="str">
        <f aca="false">IFERROR(IF(ISBLANK(INDEX(RAW_key_statistics!$CI$2:$CI$13,$AL8)),"",INDEX(RAW_key_statistics!$CI$2:$CI$13,$AL8)),"")</f>
        <v/>
      </c>
      <c r="O8" s="26" t="str">
        <f aca="false">IFERROR(IF(ISBLANK(INDEX(RAW_key_statistics!$CH$2:$CH$13,$AL8)),"",INDEX(RAW_key_statistics!$CH$2:$CH$13,$AL8)),"")</f>
        <v/>
      </c>
      <c r="P8" s="26" t="n">
        <f aca="false">IFERROR(IF(ISBLANK(INDEX(RAW_key_statistics!$CK$2:$CK$13,$AL8)),"",INDEX(RAW_key_statistics!$CK$2:$CK$13,$AL8)),"")</f>
        <v>0.162547698193885</v>
      </c>
      <c r="Q8" s="27" t="n">
        <f aca="false">IFERROR(IF(ISBLANK(INDEX(RAW_key_statistics!$BB$2:$BB$13,$AL8)),"",INDEX(RAW_key_statistics!$BB$2:$BB$13,$AL8)),"")</f>
        <v>5</v>
      </c>
      <c r="R8" s="28" t="str">
        <f aca="false">IFERROR(IF(ISBLANK(INDEX(RAW_key_statistics!$AE$2:$AE$13,$AL8)),"",INDEX(RAW_key_statistics!$AE$2:$AE$13,$AL8)),"")</f>
        <v/>
      </c>
      <c r="S8" s="25" t="str">
        <f aca="false">IFERROR(IF(ISBLANK(INDEX(RAW_key_statistics!$V$2:$V$13,$AL8)),"",INDEX(RAW_key_statistics!$V$2:$V$13,$AL8)),"")</f>
        <v/>
      </c>
      <c r="T8" s="25" t="n">
        <f aca="false">IFERROR(IF(ISBLANK(INDEX(RAW_analyses!$N$2:$N$13,$AO8)),"",INDEX(RAW_analyses!$N$2:$N$13,$AO8)),"")</f>
        <v>-0.155639698054699</v>
      </c>
      <c r="U8" s="26" t="n">
        <f aca="false">IFERROR(IF(ISBLANK(INDEX(RAW_key_statistics!$CS$2:$CS$13,$AL8)),"",INDEX(RAW_key_statistics!$CS$2:$CS$13,$AL8)),"")</f>
        <v>0.0662533980201642</v>
      </c>
      <c r="V8" s="23" t="str">
        <f aca="false">IFERROR(IF(ISBLANK(INDEX(RAW_key_statistics!$CM$2:$CM$13,$AL8)),"",INDEX(RAW_key_statistics!$CM$2:$CM$13,$AL8)),"")</f>
        <v/>
      </c>
      <c r="W8" s="22" t="str">
        <f aca="false">IFERROR(IF(ISBLANK(INDEX(RAW_key_statistics!$CN$2:$CN$13,$AL8)),"",INDEX(RAW_key_statistics!$CN$2:$CN$13,$AL8)),"")</f>
        <v>FALSE</v>
      </c>
      <c r="X8" s="23" t="str">
        <f aca="false">IFERROR(IF(ISBLANK(INDEX(RAW_key_statistics!$CR$2:$CR$13,$AL8)),"",INDEX(RAW_key_statistics!$CR$2:$CR$13,$AL8)),"")</f>
        <v/>
      </c>
      <c r="Y8" s="23" t="n">
        <f aca="false">IFERROR(IF(ISBLANK(INDEX(RAW_scores!$R$2:$R$13,$AM8)),"",INDEX(RAW_scores!$R$2:$R$13,$AM8)),"")</f>
        <v>6280.78871007626</v>
      </c>
      <c r="Z8" s="23" t="n">
        <f aca="false">IFERROR(IF(ISBLANK(INDEX(RAW_scores!$S$2:$S$13,$AM8)),"",INDEX(RAW_scores!$S$2:$S$13,$AM8)),"")</f>
        <v>9675.58410149018</v>
      </c>
      <c r="AA8" s="23" t="n">
        <f aca="false">IFERROR(IF(ISBLANK(INDEX(RAW_scores!$T$2:$T$13,$AM8)),"",INDEX(RAW_scores!$T$2:$T$13,$AM8)),"")</f>
        <v>13308.7211849242</v>
      </c>
      <c r="AB8" s="23" t="n">
        <f aca="false">IFERROR(IF(ISBLANK(INDEX(RAW_scores!$X$2:$X$13,$AM8)),"",INDEX(RAW_scores!$X$2:$X$13,$AM8)),"")</f>
        <v>7105.82993786026</v>
      </c>
      <c r="AC8" s="26" t="n">
        <f aca="false">IFERROR(IF(ISBLANK(INDEX(RAW_scores!$Y$2:$Y$13,$AM8)),"",INDEX(RAW_scores!$Y$2:$Y$13,$AM8)),"")</f>
        <v>0.403306856893797</v>
      </c>
      <c r="AD8" s="26" t="n">
        <f aca="false">IFERROR(IF(ISBLANK(INDEX(RAW_scores!$Z$2:$Z$13,$AM8)),"",INDEX(RAW_scores!$Z$2:$Z$13,$AM8)),"")</f>
        <v>0.675903287231194</v>
      </c>
      <c r="AE8" s="28" t="n">
        <f aca="false">IFERROR(IF(ISBLANK(INDEX(RAW_scores!$F$2:$F$13,$AM8)),"",INDEX(RAW_scores!$F$2:$F$13,$AM8)),"")</f>
        <v>85</v>
      </c>
      <c r="AF8" s="28" t="n">
        <f aca="false">IFERROR(IF(ISBLANK(INDEX(RAW_scores!$G$2:$G$13,$AM8)),"",INDEX(RAW_scores!$G$2:$G$13,$AM8)),"")</f>
        <v>62.8</v>
      </c>
      <c r="AG8" s="28" t="n">
        <f aca="false">IFERROR(IF(ISBLANK(INDEX(RAW_scores!$H$2:$H$13,$AM8)),"",INDEX(RAW_scores!$H$2:$H$13,$AM8)),"")</f>
        <v>75</v>
      </c>
      <c r="AH8" s="28" t="n">
        <f aca="false">IFERROR(IF(ISBLANK(INDEX(RAW_scores!$I$2:$I$13,$AM8)),"",INDEX(RAW_scores!$I$2:$I$13,$AM8)),"")</f>
        <v>74.3</v>
      </c>
      <c r="AI8" s="22" t="str">
        <f aca="false">IFERROR(IF(ISBLANK(INDEX(RAW_scores!$AA$2:$AA$13,$AM8)),"",INDEX(RAW_scores!$AA$2:$AA$13,$AM8)),"")</f>
        <v>BUY</v>
      </c>
      <c r="AJ8" s="28" t="n">
        <f aca="false">IFERROR(IF(ISBLANK(INDEX(RAW_scores!$AF$2:$AF$13,$AM8)),"",INDEX(RAW_scores!$AF$2:$AF$13,$AM8)),"")</f>
        <v>0.45</v>
      </c>
      <c r="AK8" s="22" t="str">
        <f aca="false">IFERROR(IF(ISBLANK(INDEX(RAW_scores!$AC$2:$AC$13,$AM8)),"",INDEX(RAW_scores!$AC$2:$AC$13,$AM8)),"")</f>
        <v/>
      </c>
      <c r="AL8" s="29" t="n">
        <f aca="false">IFERROR(MATCH($A8,RAW_key_statistics!$A$2:$A$13,0),"")</f>
        <v>7</v>
      </c>
      <c r="AM8" s="29" t="n">
        <f aca="false">IFERROR(MATCH($A8,RAW_scores!$A$2:$A$13,0),"")</f>
        <v>7</v>
      </c>
      <c r="AN8" s="29" t="n">
        <f aca="false">IFERROR(MATCH($A8,RAW_idx_stocks!$A$2:$A$13,0),"")</f>
        <v>7</v>
      </c>
      <c r="AO8" s="29" t="n">
        <f aca="false">IFERROR(MATCH($A8,RAW_analyses!$A$2:$A$13,0),"")</f>
        <v>7</v>
      </c>
    </row>
    <row r="9" customFormat="false" ht="15" hidden="false" customHeight="false" outlineLevel="0" collapsed="false">
      <c r="A9" s="21" t="s">
        <v>48</v>
      </c>
      <c r="B9" s="22" t="str">
        <f aca="false">IFERROR(IF(ISBLANK(INDEX(RAW_scores!$B$2:$B$13,$AM9)),"",INDEX(RAW_scores!$B$2:$B$13,$AM9)),"")</f>
        <v>Gudang Garam Tbk.</v>
      </c>
      <c r="C9" s="22" t="str">
        <f aca="false">IFERROR(IF(ISBLANK(INDEX(RAW_scores!$C$2:$C$13,$AM9)),"",INDEX(RAW_scores!$C$2:$C$13,$AM9)),"")</f>
        <v>Consumer Non-Cyclicals</v>
      </c>
      <c r="D9" s="22" t="str">
        <f aca="false">IFERROR(IF(ISBLANK(INDEX(RAW_scores!$D$2:$D$13,$AM9)),"",INDEX(RAW_scores!$D$2:$D$13,$AM9)),"")</f>
        <v>Ordinary</v>
      </c>
      <c r="E9" s="23" t="n">
        <f aca="false">IFERROR(IF(ISBLANK(INDEX(RAW_idx_stocks!$F$2:$F$13,$AN9)),"",INDEX(RAW_idx_stocks!$F$2:$F$13,$AN9)),"")</f>
        <v>21725</v>
      </c>
      <c r="F9" s="24" t="n">
        <f aca="false">IFERROR(IF(ISBLANK(INDEX(RAW_key_statistics!$BS$2:$BS$13,$AL9)),"",INDEX(RAW_key_statistics!$BS$2:$BS$13,$AL9)/1000000000),"")</f>
        <v>41800.81115136</v>
      </c>
      <c r="G9" s="25" t="n">
        <f aca="false">IFERROR(IF(ISBLANK(INDEX(RAW_key_statistics!$C$2:$C$13,$AL9)),"",INDEX(RAW_key_statistics!$C$2:$C$13,$AL9)),"")</f>
        <v>12.1561057362909</v>
      </c>
      <c r="H9" s="25" t="n">
        <f aca="false">IFERROR(IF(ISBLANK(INDEX(RAW_key_statistics!$H$2:$H$13,$AL9)),"",INDEX(RAW_key_statistics!$H$2:$H$13,$AL9)),"")</f>
        <v>0.653090559809294</v>
      </c>
      <c r="I9" s="25" t="n">
        <f aca="false">IFERROR(IF(ISBLANK(INDEX(RAW_key_statistics!$K$2:$K$13,$AL9)),"",INDEX(RAW_key_statistics!$K$2:$K$13,$AL9)),"")</f>
        <v>6.55947176680997</v>
      </c>
      <c r="J9" s="25" t="n">
        <f aca="false">IFERROR(IF(ISBLANK(INDEX(RAW_key_statistics!$L$2:$L$13,$AL9)),"",INDEX(RAW_key_statistics!$L$2:$L$13,$AL9)),"")</f>
        <v>5.70821305822548</v>
      </c>
      <c r="K9" s="26" t="n">
        <f aca="false">IFERROR(IF(ISBLANK(INDEX(RAW_key_statistics!$AZ$2:$AZ$13,$AL9)),"",INDEX(RAW_key_statistics!$AZ$2:$AZ$13,$AL9)),"")</f>
        <v>0.0368</v>
      </c>
      <c r="L9" s="26" t="n">
        <f aca="false">IFERROR(IF(ISBLANK(INDEX(RAW_key_statistics!$AG$2:$AG$13,$AL9)),"",INDEX(RAW_key_statistics!$AG$2:$AG$13,$AL9)),"")</f>
        <v>0.0537253108830365</v>
      </c>
      <c r="M9" s="26" t="n">
        <f aca="false">IFERROR(IF(ISBLANK(INDEX(RAW_key_statistics!$AI$2:$AI$13,$AL9)),"",INDEX(RAW_key_statistics!$AI$2:$AI$13,$AL9)),"")</f>
        <v>0.0549383445553412</v>
      </c>
      <c r="N9" s="26" t="n">
        <f aca="false">IFERROR(IF(ISBLANK(INDEX(RAW_key_statistics!$CI$2:$CI$13,$AL9)),"",INDEX(RAW_key_statistics!$CI$2:$CI$13,$AL9)),"")</f>
        <v>0.0879732423978567</v>
      </c>
      <c r="O9" s="26" t="n">
        <f aca="false">IFERROR(IF(ISBLANK(INDEX(RAW_key_statistics!$CH$2:$CH$13,$AL9)),"",INDEX(RAW_key_statistics!$CH$2:$CH$13,$AL9)),"")</f>
        <v>0.15245130027998</v>
      </c>
      <c r="P9" s="26" t="n">
        <f aca="false">IFERROR(IF(ISBLANK(INDEX(RAW_key_statistics!$CK$2:$CK$13,$AL9)),"",INDEX(RAW_key_statistics!$CK$2:$CK$13,$AL9)),"")</f>
        <v>0.242919376928637</v>
      </c>
      <c r="Q9" s="27" t="n">
        <f aca="false">IFERROR(IF(ISBLANK(INDEX(RAW_key_statistics!$BB$2:$BB$13,$AL9)),"",INDEX(RAW_key_statistics!$BB$2:$BB$13,$AL9)),"")</f>
        <v>7</v>
      </c>
      <c r="R9" s="28" t="n">
        <f aca="false">IFERROR(IF(ISBLANK(INDEX(RAW_key_statistics!$AE$2:$AE$13,$AL9)),"",INDEX(RAW_key_statistics!$AE$2:$AE$13,$AL9)),"")</f>
        <v>10.5703697469141</v>
      </c>
      <c r="S9" s="25" t="n">
        <f aca="false">IFERROR(IF(ISBLANK(INDEX(RAW_key_statistics!$V$2:$V$13,$AL9)),"",INDEX(RAW_key_statistics!$V$2:$V$13,$AL9)),"")</f>
        <v>3.64411962019332</v>
      </c>
      <c r="T9" s="25" t="n">
        <f aca="false">IFERROR(IF(ISBLANK(INDEX(RAW_analyses!$N$2:$N$13,$AO9)),"",INDEX(RAW_analyses!$N$2:$N$13,$AO9)),"")</f>
        <v>-0.136239466346006</v>
      </c>
      <c r="U9" s="26" t="n">
        <f aca="false">IFERROR(IF(ISBLANK(INDEX(RAW_key_statistics!$CS$2:$CS$13,$AL9)),"",INDEX(RAW_key_statistics!$CS$2:$CS$13,$AL9)),"")</f>
        <v>-0.105058177963525</v>
      </c>
      <c r="V9" s="23" t="n">
        <f aca="false">IFERROR(IF(ISBLANK(INDEX(RAW_key_statistics!$CM$2:$CM$13,$AL9)),"",INDEX(RAW_key_statistics!$CM$2:$CM$13,$AL9)),"")</f>
        <v>15132.8567092565</v>
      </c>
      <c r="W9" s="22" t="str">
        <f aca="false">IFERROR(IF(ISBLANK(INDEX(RAW_key_statistics!$CN$2:$CN$13,$AL9)),"",INDEX(RAW_key_statistics!$CN$2:$CN$13,$AL9)),"")</f>
        <v>FALSE</v>
      </c>
      <c r="X9" s="23" t="n">
        <f aca="false">IFERROR(IF(ISBLANK(INDEX(RAW_key_statistics!$CR$2:$CR$13,$AL9)),"",INDEX(RAW_key_statistics!$CR$2:$CR$13,$AL9)),"")</f>
        <v>17525.7377545661</v>
      </c>
      <c r="Y9" s="23" t="n">
        <f aca="false">IFERROR(IF(ISBLANK(INDEX(RAW_scores!$R$2:$R$13,$AM9)),"",INDEX(RAW_scores!$R$2:$R$13,$AM9)),"")</f>
        <v>8894.77063352534</v>
      </c>
      <c r="Z9" s="23" t="n">
        <f aca="false">IFERROR(IF(ISBLANK(INDEX(RAW_scores!$S$2:$S$13,$AM9)),"",INDEX(RAW_scores!$S$2:$S$13,$AM9)),"")</f>
        <v>10088.4787524023</v>
      </c>
      <c r="AA9" s="23" t="n">
        <f aca="false">IFERROR(IF(ISBLANK(INDEX(RAW_scores!$T$2:$T$13,$AM9)),"",INDEX(RAW_scores!$T$2:$T$13,$AM9)),"")</f>
        <v>12283.1196838154</v>
      </c>
      <c r="AB9" s="23" t="n">
        <f aca="false">IFERROR(IF(ISBLANK(INDEX(RAW_scores!$X$2:$X$13,$AM9)),"",INDEX(RAW_scores!$X$2:$X$13,$AM9)),"")</f>
        <v>13559.1996200787</v>
      </c>
      <c r="AC9" s="26" t="n">
        <f aca="false">IFERROR(IF(ISBLANK(INDEX(RAW_scores!$Y$2:$Y$13,$AM9)),"",INDEX(RAW_scores!$Y$2:$Y$13,$AM9)),"")</f>
        <v>-0.602233214992218</v>
      </c>
      <c r="AD9" s="26" t="n">
        <f aca="false">IFERROR(IF(ISBLANK(INDEX(RAW_scores!$Z$2:$Z$13,$AM9)),"",INDEX(RAW_scores!$Z$2:$Z$13,$AM9)),"")</f>
        <v>-0.375871133713292</v>
      </c>
      <c r="AE9" s="28" t="n">
        <f aca="false">IFERROR(IF(ISBLANK(INDEX(RAW_scores!$F$2:$F$13,$AM9)),"",INDEX(RAW_scores!$F$2:$F$13,$AM9)),"")</f>
        <v>23.3</v>
      </c>
      <c r="AF9" s="28" t="n">
        <f aca="false">IFERROR(IF(ISBLANK(INDEX(RAW_scores!$G$2:$G$13,$AM9)),"",INDEX(RAW_scores!$G$2:$G$13,$AM9)),"")</f>
        <v>95.6</v>
      </c>
      <c r="AG9" s="28" t="n">
        <f aca="false">IFERROR(IF(ISBLANK(INDEX(RAW_scores!$H$2:$H$13,$AM9)),"",INDEX(RAW_scores!$H$2:$H$13,$AM9)),"")</f>
        <v>78.8</v>
      </c>
      <c r="AH9" s="28" t="n">
        <f aca="false">IFERROR(IF(ISBLANK(INDEX(RAW_scores!$I$2:$I$13,$AM9)),"",INDEX(RAW_scores!$I$2:$I$13,$AM9)),"")</f>
        <v>65.9</v>
      </c>
      <c r="AI9" s="22" t="str">
        <f aca="false">IFERROR(IF(ISBLANK(INDEX(RAW_scores!$AA$2:$AA$13,$AM9)),"",INDEX(RAW_scores!$AA$2:$AA$13,$AM9)),"")</f>
        <v>SKIP</v>
      </c>
      <c r="AJ9" s="28" t="n">
        <f aca="false">IFERROR(IF(ISBLANK(INDEX(RAW_scores!$AF$2:$AF$13,$AM9)),"",INDEX(RAW_scores!$AF$2:$AF$13,$AM9)),"")</f>
        <v>0.45</v>
      </c>
      <c r="AK9" s="22" t="str">
        <f aca="false">IFERROR(IF(ISBLANK(INDEX(RAW_scores!$AC$2:$AC$13,$AM9)),"",INDEX(RAW_scores!$AC$2:$AC$13,$AM9)),"")</f>
        <v/>
      </c>
      <c r="AL9" s="29" t="n">
        <f aca="false">IFERROR(MATCH($A9,RAW_key_statistics!$A$2:$A$13,0),"")</f>
        <v>8</v>
      </c>
      <c r="AM9" s="29" t="n">
        <f aca="false">IFERROR(MATCH($A9,RAW_scores!$A$2:$A$13,0),"")</f>
        <v>8</v>
      </c>
      <c r="AN9" s="29" t="n">
        <f aca="false">IFERROR(MATCH($A9,RAW_idx_stocks!$A$2:$A$13,0),"")</f>
        <v>8</v>
      </c>
      <c r="AO9" s="29" t="n">
        <f aca="false">IFERROR(MATCH($A9,RAW_analyses!$A$2:$A$13,0),"")</f>
        <v>8</v>
      </c>
    </row>
    <row r="10" customFormat="false" ht="15" hidden="false" customHeight="false" outlineLevel="0" collapsed="false">
      <c r="A10" s="21" t="s">
        <v>45</v>
      </c>
      <c r="B10" s="22" t="str">
        <f aca="false">IFERROR(IF(ISBLANK(INDEX(RAW_scores!$B$2:$B$13,$AM10)),"",INDEX(RAW_scores!$B$2:$B$13,$AM10)),"")</f>
        <v>Indo Tambangraya Megah Tbk.</v>
      </c>
      <c r="C10" s="22" t="str">
        <f aca="false">IFERROR(IF(ISBLANK(INDEX(RAW_scores!$C$2:$C$13,$AM10)),"",INDEX(RAW_scores!$C$2:$C$13,$AM10)),"")</f>
        <v>Energy</v>
      </c>
      <c r="D10" s="22" t="str">
        <f aca="false">IFERROR(IF(ISBLANK(INDEX(RAW_scores!$D$2:$D$13,$AM10)),"",INDEX(RAW_scores!$D$2:$D$13,$AM10)),"")</f>
        <v>Cyclical</v>
      </c>
      <c r="E10" s="23" t="n">
        <f aca="false">IFERROR(IF(ISBLANK(INDEX(RAW_idx_stocks!$F$2:$F$13,$AN10)),"",INDEX(RAW_idx_stocks!$F$2:$F$13,$AN10)),"")</f>
        <v>25125</v>
      </c>
      <c r="F10" s="24" t="n">
        <f aca="false">IFERROR(IF(ISBLANK(INDEX(RAW_key_statistics!$BS$2:$BS$13,$AL10)),"",INDEX(RAW_key_statistics!$BS$2:$BS$13,$AL10)/1000000000),"")</f>
        <v>28011.839619072</v>
      </c>
      <c r="G10" s="25" t="n">
        <f aca="false">IFERROR(IF(ISBLANK(INDEX(RAW_key_statistics!$C$2:$C$13,$AL10)),"",INDEX(RAW_key_statistics!$C$2:$C$13,$AL10)),"")</f>
        <v>8.6589213706021</v>
      </c>
      <c r="H10" s="25" t="n">
        <f aca="false">IFERROR(IF(ISBLANK(INDEX(RAW_key_statistics!$H$2:$H$13,$AL10)),"",INDEX(RAW_key_statistics!$H$2:$H$13,$AL10)),"")</f>
        <v>0.815850091763179</v>
      </c>
      <c r="I10" s="25" t="n">
        <f aca="false">IFERROR(IF(ISBLANK(INDEX(RAW_key_statistics!$K$2:$K$13,$AL10)),"",INDEX(RAW_key_statistics!$K$2:$K$13,$AL10)),"")</f>
        <v>5.34918565140985</v>
      </c>
      <c r="J10" s="25" t="n">
        <f aca="false">IFERROR(IF(ISBLANK(INDEX(RAW_key_statistics!$L$2:$L$13,$AL10)),"",INDEX(RAW_key_statistics!$L$2:$L$13,$AL10)),"")</f>
        <v>4.72377720049651</v>
      </c>
      <c r="K10" s="26" t="n">
        <f aca="false">IFERROR(IF(ISBLANK(INDEX(RAW_key_statistics!$AZ$2:$AZ$13,$AL10)),"",INDEX(RAW_key_statistics!$AZ$2:$AZ$13,$AL10)),"")</f>
        <v>0.0689</v>
      </c>
      <c r="L10" s="26" t="n">
        <f aca="false">IFERROR(IF(ISBLANK(INDEX(RAW_key_statistics!$AG$2:$AG$13,$AL10)),"",INDEX(RAW_key_statistics!$AG$2:$AG$13,$AL10)),"")</f>
        <v>0.0942207530066125</v>
      </c>
      <c r="M10" s="26" t="n">
        <f aca="false">IFERROR(IF(ISBLANK(INDEX(RAW_key_statistics!$AI$2:$AI$13,$AL10)),"",INDEX(RAW_key_statistics!$AI$2:$AI$13,$AL10)),"")</f>
        <v>0.0970870802997606</v>
      </c>
      <c r="N10" s="26" t="n">
        <f aca="false">IFERROR(IF(ISBLANK(INDEX(RAW_key_statistics!$CI$2:$CI$13,$AL10)),"",INDEX(RAW_key_statistics!$CI$2:$CI$13,$AL10)),"")</f>
        <v>0.221642365753753</v>
      </c>
      <c r="O10" s="26" t="n">
        <f aca="false">IFERROR(IF(ISBLANK(INDEX(RAW_key_statistics!$CH$2:$CH$13,$AL10)),"",INDEX(RAW_key_statistics!$CH$2:$CH$13,$AL10)),"")</f>
        <v>0.186944343525717</v>
      </c>
      <c r="P10" s="26" t="n">
        <f aca="false">IFERROR(IF(ISBLANK(INDEX(RAW_key_statistics!$CK$2:$CK$13,$AL10)),"",INDEX(RAW_key_statistics!$CK$2:$CK$13,$AL10)),"")</f>
        <v>0.132569312779859</v>
      </c>
      <c r="Q10" s="27" t="n">
        <f aca="false">IFERROR(IF(ISBLANK(INDEX(RAW_key_statistics!$BB$2:$BB$13,$AL10)),"",INDEX(RAW_key_statistics!$BB$2:$BB$13,$AL10)),"")</f>
        <v>3</v>
      </c>
      <c r="R10" s="28" t="n">
        <f aca="false">IFERROR(IF(ISBLANK(INDEX(RAW_key_statistics!$AE$2:$AE$13,$AL10)),"",INDEX(RAW_key_statistics!$AE$2:$AE$13,$AL10)),"")</f>
        <v>9.4828366478951</v>
      </c>
      <c r="S10" s="25" t="n">
        <f aca="false">IFERROR(IF(ISBLANK(INDEX(RAW_key_statistics!$V$2:$V$13,$AL10)),"",INDEX(RAW_key_statistics!$V$2:$V$13,$AL10)),"")</f>
        <v>3.61289036073749</v>
      </c>
      <c r="T10" s="25" t="n">
        <f aca="false">IFERROR(IF(ISBLANK(INDEX(RAW_analyses!$N$2:$N$13,$AO10)),"",INDEX(RAW_analyses!$N$2:$N$13,$AO10)),"")</f>
        <v>-0.347166341378436</v>
      </c>
      <c r="U10" s="26" t="n">
        <f aca="false">IFERROR(IF(ISBLANK(INDEX(RAW_key_statistics!$CS$2:$CS$13,$AL10)),"",INDEX(RAW_key_statistics!$CS$2:$CS$13,$AL10)),"")</f>
        <v>-0.197235679904852</v>
      </c>
      <c r="V10" s="23" t="n">
        <f aca="false">IFERROR(IF(ISBLANK(INDEX(RAW_key_statistics!$CM$2:$CM$13,$AL10)),"",INDEX(RAW_key_statistics!$CM$2:$CM$13,$AL10)),"")</f>
        <v>11931.7748090388</v>
      </c>
      <c r="W10" s="22" t="str">
        <f aca="false">IFERROR(IF(ISBLANK(INDEX(RAW_key_statistics!$CN$2:$CN$13,$AL10)),"",INDEX(RAW_key_statistics!$CN$2:$CN$13,$AL10)),"")</f>
        <v>FALSE</v>
      </c>
      <c r="X10" s="23" t="n">
        <f aca="false">IFERROR(IF(ISBLANK(INDEX(RAW_key_statistics!$CR$2:$CR$13,$AL10)),"",INDEX(RAW_key_statistics!$CR$2:$CR$13,$AL10)),"")</f>
        <v>70434.6470877948</v>
      </c>
      <c r="Y10" s="23" t="n">
        <f aca="false">IFERROR(IF(ISBLANK(INDEX(RAW_scores!$R$2:$R$13,$AM10)),"",INDEX(RAW_scores!$R$2:$R$13,$AM10)),"")</f>
        <v>50584.181262366</v>
      </c>
      <c r="Z10" s="23" t="n">
        <f aca="false">IFERROR(IF(ISBLANK(INDEX(RAW_scores!$S$2:$S$13,$AM10)),"",INDEX(RAW_scores!$S$2:$S$13,$AM10)),"")</f>
        <v>61499.333794678</v>
      </c>
      <c r="AA10" s="23" t="n">
        <f aca="false">IFERROR(IF(ISBLANK(INDEX(RAW_scores!$T$2:$T$13,$AM10)),"",INDEX(RAW_scores!$T$2:$T$13,$AM10)),"")</f>
        <v>81566.9199501328</v>
      </c>
      <c r="AB10" s="23" t="n">
        <f aca="false">IFERROR(IF(ISBLANK(INDEX(RAW_scores!$X$2:$X$13,$AM10)),"",INDEX(RAW_scores!$X$2:$X$13,$AM10)),"")</f>
        <v>67881.7004326185</v>
      </c>
      <c r="AC10" s="26" t="n">
        <f aca="false">IFERROR(IF(ISBLANK(INDEX(RAW_scores!$Y$2:$Y$13,$AM10)),"",INDEX(RAW_scores!$Y$2:$Y$13,$AM10)),"")</f>
        <v>0.629870792277223</v>
      </c>
      <c r="AD10" s="26" t="n">
        <f aca="false">IFERROR(IF(ISBLANK(INDEX(RAW_scores!$Z$2:$Z$13,$AM10)),"",INDEX(RAW_scores!$Z$2:$Z$13,$AM10)),"")</f>
        <v>1.70175922119875</v>
      </c>
      <c r="AE10" s="28" t="n">
        <f aca="false">IFERROR(IF(ISBLANK(INDEX(RAW_scores!$F$2:$F$13,$AM10)),"",INDEX(RAW_scores!$F$2:$F$13,$AM10)),"")</f>
        <v>50</v>
      </c>
      <c r="AF10" s="28" t="n">
        <f aca="false">IFERROR(IF(ISBLANK(INDEX(RAW_scores!$G$2:$G$13,$AM10)),"",INDEX(RAW_scores!$G$2:$G$13,$AM10)),"")</f>
        <v>86.7</v>
      </c>
      <c r="AG10" s="28" t="n">
        <f aca="false">IFERROR(IF(ISBLANK(INDEX(RAW_scores!$H$2:$H$13,$AM10)),"",INDEX(RAW_scores!$H$2:$H$13,$AM10)),"")</f>
        <v>88.8</v>
      </c>
      <c r="AH10" s="28" t="n">
        <f aca="false">IFERROR(IF(ISBLANK(INDEX(RAW_scores!$I$2:$I$13,$AM10)),"",INDEX(RAW_scores!$I$2:$I$13,$AM10)),"")</f>
        <v>75.2</v>
      </c>
      <c r="AI10" s="22" t="str">
        <f aca="false">IFERROR(IF(ISBLANK(INDEX(RAW_scores!$AA$2:$AA$13,$AM10)),"",INDEX(RAW_scores!$AA$2:$AA$13,$AM10)),"")</f>
        <v>WATCH</v>
      </c>
      <c r="AJ10" s="28" t="n">
        <f aca="false">IFERROR(IF(ISBLANK(INDEX(RAW_scores!$AF$2:$AF$13,$AM10)),"",INDEX(RAW_scores!$AF$2:$AF$13,$AM10)),"")</f>
        <v>1.45</v>
      </c>
      <c r="AK10" s="22" t="str">
        <f aca="false">IFERROR(IF(ISBLANK(INDEX(RAW_scores!$AC$2:$AC$13,$AM10)),"",INDEX(RAW_scores!$AC$2:$AC$13,$AM10)),"")</f>
        <v/>
      </c>
      <c r="AL10" s="29" t="n">
        <f aca="false">IFERROR(MATCH($A10,RAW_key_statistics!$A$2:$A$13,0),"")</f>
        <v>9</v>
      </c>
      <c r="AM10" s="29" t="n">
        <f aca="false">IFERROR(MATCH($A10,RAW_scores!$A$2:$A$13,0),"")</f>
        <v>9</v>
      </c>
      <c r="AN10" s="29" t="n">
        <f aca="false">IFERROR(MATCH($A10,RAW_idx_stocks!$A$2:$A$13,0),"")</f>
        <v>9</v>
      </c>
      <c r="AO10" s="29" t="n">
        <f aca="false">IFERROR(MATCH($A10,RAW_analyses!$A$2:$A$13,0),"")</f>
        <v>9</v>
      </c>
    </row>
    <row r="11" customFormat="false" ht="15" hidden="false" customHeight="false" outlineLevel="0" collapsed="false">
      <c r="A11" s="21" t="s">
        <v>46</v>
      </c>
      <c r="B11" s="22" t="str">
        <f aca="false">IFERROR(IF(ISBLANK(INDEX(RAW_scores!$B$2:$B$13,$AM11)),"",INDEX(RAW_scores!$B$2:$B$13,$AM11)),"")</f>
        <v>Bukit Asam Tbk.</v>
      </c>
      <c r="C11" s="22" t="str">
        <f aca="false">IFERROR(IF(ISBLANK(INDEX(RAW_scores!$C$2:$C$13,$AM11)),"",INDEX(RAW_scores!$C$2:$C$13,$AM11)),"")</f>
        <v>Energy</v>
      </c>
      <c r="D11" s="22" t="str">
        <f aca="false">IFERROR(IF(ISBLANK(INDEX(RAW_scores!$D$2:$D$13,$AM11)),"",INDEX(RAW_scores!$D$2:$D$13,$AM11)),"")</f>
        <v>Cyclical</v>
      </c>
      <c r="E11" s="23" t="n">
        <f aca="false">IFERROR(IF(ISBLANK(INDEX(RAW_idx_stocks!$F$2:$F$13,$AN11)),"",INDEX(RAW_idx_stocks!$F$2:$F$13,$AN11)),"")</f>
        <v>2370</v>
      </c>
      <c r="F11" s="24" t="n">
        <f aca="false">IFERROR(IF(ISBLANK(INDEX(RAW_key_statistics!$BS$2:$BS$13,$AL11)),"",INDEX(RAW_key_statistics!$BS$2:$BS$13,$AL11)/1000000000),"")</f>
        <v>27289.024724992</v>
      </c>
      <c r="G11" s="25" t="n">
        <f aca="false">IFERROR(IF(ISBLANK(INDEX(RAW_key_statistics!$C$2:$C$13,$AL11)),"",INDEX(RAW_key_statistics!$C$2:$C$13,$AL11)),"")</f>
        <v>8.60643795579243</v>
      </c>
      <c r="H11" s="25" t="n">
        <f aca="false">IFERROR(IF(ISBLANK(INDEX(RAW_key_statistics!$H$2:$H$13,$AL11)),"",INDEX(RAW_key_statistics!$H$2:$H$13,$AL11)),"")</f>
        <v>1.15959846592059</v>
      </c>
      <c r="I11" s="25" t="n">
        <f aca="false">IFERROR(IF(ISBLANK(INDEX(RAW_key_statistics!$K$2:$K$13,$AL11)),"",INDEX(RAW_key_statistics!$K$2:$K$13,$AL11)),"")</f>
        <v>6.02326094968346</v>
      </c>
      <c r="J11" s="25" t="n">
        <f aca="false">IFERROR(IF(ISBLANK(INDEX(RAW_key_statistics!$L$2:$L$13,$AL11)),"",INDEX(RAW_key_statistics!$L$2:$L$13,$AL11)),"")</f>
        <v>5.62395051784173</v>
      </c>
      <c r="K11" s="26" t="n">
        <f aca="false">IFERROR(IF(ISBLANK(INDEX(RAW_key_statistics!$AZ$2:$AZ$13,$AL11)),"",INDEX(RAW_key_statistics!$AZ$2:$AZ$13,$AL11)),"")</f>
        <v>0.048299998</v>
      </c>
      <c r="L11" s="26" t="n">
        <f aca="false">IFERROR(IF(ISBLANK(INDEX(RAW_key_statistics!$AG$2:$AG$13,$AL11)),"",INDEX(RAW_key_statistics!$AG$2:$AG$13,$AL11)),"")</f>
        <v>0.134736167491934</v>
      </c>
      <c r="M11" s="26" t="n">
        <f aca="false">IFERROR(IF(ISBLANK(INDEX(RAW_key_statistics!$AI$2:$AI$13,$AL11)),"",INDEX(RAW_key_statistics!$AI$2:$AI$13,$AL11)),"")</f>
        <v>0.130603644204024</v>
      </c>
      <c r="N11" s="26" t="n">
        <f aca="false">IFERROR(IF(ISBLANK(INDEX(RAW_key_statistics!$CI$2:$CI$13,$AL11)),"",INDEX(RAW_key_statistics!$CI$2:$CI$13,$AL11)),"")</f>
        <v>0.140292980195781</v>
      </c>
      <c r="O11" s="26" t="n">
        <f aca="false">IFERROR(IF(ISBLANK(INDEX(RAW_key_statistics!$CH$2:$CH$13,$AL11)),"",INDEX(RAW_key_statistics!$CH$2:$CH$13,$AL11)),"")</f>
        <v>0.166023024463609</v>
      </c>
      <c r="P11" s="26" t="n">
        <f aca="false">IFERROR(IF(ISBLANK(INDEX(RAW_key_statistics!$CK$2:$CK$13,$AL11)),"",INDEX(RAW_key_statistics!$CK$2:$CK$13,$AL11)),"")</f>
        <v>0.103999795837366</v>
      </c>
      <c r="Q11" s="27" t="n">
        <f aca="false">IFERROR(IF(ISBLANK(INDEX(RAW_key_statistics!$BB$2:$BB$13,$AL11)),"",INDEX(RAW_key_statistics!$BB$2:$BB$13,$AL11)),"")</f>
        <v>2</v>
      </c>
      <c r="R11" s="28" t="n">
        <f aca="false">IFERROR(IF(ISBLANK(INDEX(RAW_key_statistics!$AE$2:$AE$13,$AL11)),"",INDEX(RAW_key_statistics!$AE$2:$AE$13,$AL11)),"")</f>
        <v>2.8353029930305</v>
      </c>
      <c r="S11" s="25" t="n">
        <f aca="false">IFERROR(IF(ISBLANK(INDEX(RAW_key_statistics!$V$2:$V$13,$AL11)),"",INDEX(RAW_key_statistics!$V$2:$V$13,$AL11)),"")</f>
        <v>1.26789167911944</v>
      </c>
      <c r="T11" s="25" t="n">
        <f aca="false">IFERROR(IF(ISBLANK(INDEX(RAW_analyses!$N$2:$N$13,$AO11)),"",INDEX(RAW_analyses!$N$2:$N$13,$AO11)),"")</f>
        <v>-0.0625762726643402</v>
      </c>
      <c r="U11" s="26" t="n">
        <f aca="false">IFERROR(IF(ISBLANK(INDEX(RAW_key_statistics!$CS$2:$CS$13,$AL11)),"",INDEX(RAW_key_statistics!$CS$2:$CS$13,$AL11)),"")</f>
        <v>2.44941527693943E-005</v>
      </c>
      <c r="V11" s="23" t="n">
        <f aca="false">IFERROR(IF(ISBLANK(INDEX(RAW_key_statistics!$CM$2:$CM$13,$AL11)),"",INDEX(RAW_key_statistics!$CM$2:$CM$13,$AL11)),"")</f>
        <v>-565.597528496694</v>
      </c>
      <c r="W11" s="22" t="str">
        <f aca="false">IFERROR(IF(ISBLANK(INDEX(RAW_key_statistics!$CN$2:$CN$13,$AL11)),"",INDEX(RAW_key_statistics!$CN$2:$CN$13,$AL11)),"")</f>
        <v>FALSE</v>
      </c>
      <c r="X11" s="23" t="n">
        <f aca="false">IFERROR(IF(ISBLANK(INDEX(RAW_key_statistics!$CR$2:$CR$13,$AL11)),"",INDEX(RAW_key_statistics!$CR$2:$CR$13,$AL11)),"")</f>
        <v>4278.13780238499</v>
      </c>
      <c r="Y11" s="23" t="n">
        <f aca="false">IFERROR(IF(ISBLANK(INDEX(RAW_scores!$R$2:$R$13,$AM11)),"",INDEX(RAW_scores!$R$2:$R$13,$AM11)),"")</f>
        <v>1536.81879158397</v>
      </c>
      <c r="Z11" s="23" t="n">
        <f aca="false">IFERROR(IF(ISBLANK(INDEX(RAW_scores!$S$2:$S$13,$AM11)),"",INDEX(RAW_scores!$S$2:$S$13,$AM11)),"")</f>
        <v>2348.7838387523</v>
      </c>
      <c r="AA11" s="23" t="n">
        <f aca="false">IFERROR(IF(ISBLANK(INDEX(RAW_scores!$T$2:$T$13,$AM11)),"",INDEX(RAW_scores!$T$2:$T$13,$AM11)),"")</f>
        <v>3227.40498741438</v>
      </c>
      <c r="AB11" s="23" t="n">
        <f aca="false">IFERROR(IF(ISBLANK(INDEX(RAW_scores!$X$2:$X$13,$AM11)),"",INDEX(RAW_scores!$X$2:$X$13,$AM11)),"")</f>
        <v>3726.89381277565</v>
      </c>
      <c r="AC11" s="26" t="n">
        <f aca="false">IFERROR(IF(ISBLANK(INDEX(RAW_scores!$Y$2:$Y$13,$AM11)),"",INDEX(RAW_scores!$Y$2:$Y$13,$AM11)),"")</f>
        <v>0.364081694016682</v>
      </c>
      <c r="AD11" s="26" t="n">
        <f aca="false">IFERROR(IF(ISBLANK(INDEX(RAW_scores!$Z$2:$Z$13,$AM11)),"",INDEX(RAW_scores!$Z$2:$Z$13,$AM11)),"")</f>
        <v>0.572529034926435</v>
      </c>
      <c r="AE11" s="28" t="n">
        <f aca="false">IFERROR(IF(ISBLANK(INDEX(RAW_scores!$F$2:$F$13,$AM11)),"",INDEX(RAW_scores!$F$2:$F$13,$AM11)),"")</f>
        <v>58.3</v>
      </c>
      <c r="AF11" s="28" t="n">
        <f aca="false">IFERROR(IF(ISBLANK(INDEX(RAW_scores!$G$2:$G$13,$AM11)),"",INDEX(RAW_scores!$G$2:$G$13,$AM11)),"")</f>
        <v>78.4</v>
      </c>
      <c r="AG11" s="28" t="n">
        <f aca="false">IFERROR(IF(ISBLANK(INDEX(RAW_scores!$H$2:$H$13,$AM11)),"",INDEX(RAW_scores!$H$2:$H$13,$AM11)),"")</f>
        <v>80</v>
      </c>
      <c r="AH11" s="28" t="n">
        <f aca="false">IFERROR(IF(ISBLANK(INDEX(RAW_scores!$I$2:$I$13,$AM11)),"",INDEX(RAW_scores!$I$2:$I$13,$AM11)),"")</f>
        <v>72.2</v>
      </c>
      <c r="AI11" s="22" t="str">
        <f aca="false">IFERROR(IF(ISBLANK(INDEX(RAW_scores!$AA$2:$AA$13,$AM11)),"",INDEX(RAW_scores!$AA$2:$AA$13,$AM11)),"")</f>
        <v>WATCH</v>
      </c>
      <c r="AJ11" s="28" t="n">
        <f aca="false">IFERROR(IF(ISBLANK(INDEX(RAW_scores!$AF$2:$AF$13,$AM11)),"",INDEX(RAW_scores!$AF$2:$AF$13,$AM11)),"")</f>
        <v>1.45</v>
      </c>
      <c r="AK11" s="22" t="str">
        <f aca="false">IFERROR(IF(ISBLANK(INDEX(RAW_scores!$AC$2:$AC$13,$AM11)),"",INDEX(RAW_scores!$AC$2:$AC$13,$AM11)),"")</f>
        <v/>
      </c>
      <c r="AL11" s="29" t="n">
        <f aca="false">IFERROR(MATCH($A11,RAW_key_statistics!$A$2:$A$13,0),"")</f>
        <v>10</v>
      </c>
      <c r="AM11" s="29" t="n">
        <f aca="false">IFERROR(MATCH($A11,RAW_scores!$A$2:$A$13,0),"")</f>
        <v>10</v>
      </c>
      <c r="AN11" s="29" t="n">
        <f aca="false">IFERROR(MATCH($A11,RAW_idx_stocks!$A$2:$A$13,0),"")</f>
        <v>10</v>
      </c>
      <c r="AO11" s="29" t="n">
        <f aca="false">IFERROR(MATCH($A11,RAW_analyses!$A$2:$A$13,0),"")</f>
        <v>10</v>
      </c>
    </row>
    <row r="12" customFormat="false" ht="15" hidden="false" customHeight="false" outlineLevel="0" collapsed="false">
      <c r="A12" s="21" t="s">
        <v>50</v>
      </c>
      <c r="B12" s="22" t="str">
        <f aca="false">IFERROR(IF(ISBLANK(INDEX(RAW_scores!$B$2:$B$13,$AM12)),"",INDEX(RAW_scores!$B$2:$B$13,$AM12)),"")</f>
        <v>Telkom Indonesia (Persero) Tbk.</v>
      </c>
      <c r="C12" s="22" t="str">
        <f aca="false">IFERROR(IF(ISBLANK(INDEX(RAW_scores!$C$2:$C$13,$AM12)),"",INDEX(RAW_scores!$C$2:$C$13,$AM12)),"")</f>
        <v>Infrastructures</v>
      </c>
      <c r="D12" s="22" t="str">
        <f aca="false">IFERROR(IF(ISBLANK(INDEX(RAW_scores!$D$2:$D$13,$AM12)),"",INDEX(RAW_scores!$D$2:$D$13,$AM12)),"")</f>
        <v>Cyclical</v>
      </c>
      <c r="E12" s="23" t="n">
        <f aca="false">IFERROR(IF(ISBLANK(INDEX(RAW_idx_stocks!$F$2:$F$13,$AN12)),"",INDEX(RAW_idx_stocks!$F$2:$F$13,$AN12)),"")</f>
        <v>2710</v>
      </c>
      <c r="F12" s="24" t="n">
        <f aca="false">IFERROR(IF(ISBLANK(INDEX(RAW_key_statistics!$BS$2:$BS$13,$AL12)),"",INDEX(RAW_key_statistics!$BS$2:$BS$13,$AL12)/1000000000),"")</f>
        <v>267154.34778624</v>
      </c>
      <c r="G12" s="25" t="n">
        <f aca="false">IFERROR(IF(ISBLANK(INDEX(RAW_key_statistics!$C$2:$C$13,$AL12)),"",INDEX(RAW_key_statistics!$C$2:$C$13,$AL12)),"")</f>
        <v>15.5920596221133</v>
      </c>
      <c r="H12" s="25" t="n">
        <f aca="false">IFERROR(IF(ISBLANK(INDEX(RAW_key_statistics!$H$2:$H$13,$AL12)),"",INDEX(RAW_key_statistics!$H$2:$H$13,$AL12)),"")</f>
        <v>2.25764875026654</v>
      </c>
      <c r="I12" s="25" t="n">
        <f aca="false">IFERROR(IF(ISBLANK(INDEX(RAW_key_statistics!$K$2:$K$13,$AL12)),"",INDEX(RAW_key_statistics!$K$2:$K$13,$AL12)),"")</f>
        <v>8.60294220509757</v>
      </c>
      <c r="J12" s="25" t="n">
        <f aca="false">IFERROR(IF(ISBLANK(INDEX(RAW_key_statistics!$L$2:$L$13,$AL12)),"",INDEX(RAW_key_statistics!$L$2:$L$13,$AL12)),"")</f>
        <v>4.13696299571016</v>
      </c>
      <c r="K12" s="26" t="n">
        <f aca="false">IFERROR(IF(ISBLANK(INDEX(RAW_key_statistics!$AZ$2:$AZ$13,$AL12)),"",INDEX(RAW_key_statistics!$AZ$2:$AZ$13,$AL12)),"")</f>
        <v>0.08229999</v>
      </c>
      <c r="L12" s="26" t="n">
        <f aca="false">IFERROR(IF(ISBLANK(INDEX(RAW_key_statistics!$AG$2:$AG$13,$AL12)),"",INDEX(RAW_key_statistics!$AG$2:$AG$13,$AL12)),"")</f>
        <v>0.144794774069786</v>
      </c>
      <c r="M12" s="26" t="n">
        <f aca="false">IFERROR(IF(ISBLANK(INDEX(RAW_key_statistics!$AI$2:$AI$13,$AL12)),"",INDEX(RAW_key_statistics!$AI$2:$AI$13,$AL12)),"")</f>
        <v>0.157649795473124</v>
      </c>
      <c r="N12" s="26" t="n">
        <f aca="false">IFERROR(IF(ISBLANK(INDEX(RAW_key_statistics!$CI$2:$CI$13,$AL12)),"",INDEX(RAW_key_statistics!$CI$2:$CI$13,$AL12)),"")</f>
        <v>0.161193761112737</v>
      </c>
      <c r="O12" s="26" t="n">
        <f aca="false">IFERROR(IF(ISBLANK(INDEX(RAW_key_statistics!$CH$2:$CH$13,$AL12)),"",INDEX(RAW_key_statistics!$CH$2:$CH$13,$AL12)),"")</f>
        <v>0.116239302340944</v>
      </c>
      <c r="P12" s="26" t="n">
        <f aca="false">IFERROR(IF(ISBLANK(INDEX(RAW_key_statistics!$CK$2:$CK$13,$AL12)),"",INDEX(RAW_key_statistics!$CK$2:$CK$13,$AL12)),"")</f>
        <v>0.151754969873966</v>
      </c>
      <c r="Q12" s="27" t="n">
        <f aca="false">IFERROR(IF(ISBLANK(INDEX(RAW_key_statistics!$BB$2:$BB$13,$AL12)),"",INDEX(RAW_key_statistics!$BB$2:$BB$13,$AL12)),"")</f>
        <v>3</v>
      </c>
      <c r="R12" s="28" t="n">
        <f aca="false">IFERROR(IF(ISBLANK(INDEX(RAW_key_statistics!$AE$2:$AE$13,$AL12)),"",INDEX(RAW_key_statistics!$AE$2:$AE$13,$AL12)),"")</f>
        <v>1.99891761988693</v>
      </c>
      <c r="S12" s="25" t="n">
        <f aca="false">IFERROR(IF(ISBLANK(INDEX(RAW_key_statistics!$V$2:$V$13,$AL12)),"",INDEX(RAW_key_statistics!$V$2:$V$13,$AL12)),"")</f>
        <v>0.790675863146994</v>
      </c>
      <c r="T12" s="25" t="n">
        <f aca="false">IFERROR(IF(ISBLANK(INDEX(RAW_analyses!$N$2:$N$13,$AO12)),"",INDEX(RAW_analyses!$N$2:$N$13,$AO12)),"")</f>
        <v>0.222304851562962</v>
      </c>
      <c r="U12" s="26" t="n">
        <f aca="false">IFERROR(IF(ISBLANK(INDEX(RAW_key_statistics!$CS$2:$CS$13,$AL12)),"",INDEX(RAW_key_statistics!$CS$2:$CS$13,$AL12)),"")</f>
        <v>-0.0012778871708397</v>
      </c>
      <c r="V12" s="23" t="n">
        <f aca="false">IFERROR(IF(ISBLANK(INDEX(RAW_key_statistics!$CM$2:$CM$13,$AL12)),"",INDEX(RAW_key_statistics!$CM$2:$CM$13,$AL12)),"")</f>
        <v>-885.637723604334</v>
      </c>
      <c r="W12" s="22" t="str">
        <f aca="false">IFERROR(IF(ISBLANK(INDEX(RAW_key_statistics!$CN$2:$CN$13,$AL12)),"",INDEX(RAW_key_statistics!$CN$2:$CN$13,$AL12)),"")</f>
        <v>FALSE</v>
      </c>
      <c r="X12" s="23" t="n">
        <f aca="false">IFERROR(IF(ISBLANK(INDEX(RAW_key_statistics!$CR$2:$CR$13,$AL12)),"",INDEX(RAW_key_statistics!$CR$2:$CR$13,$AL12)),"")</f>
        <v>2336.28408629037</v>
      </c>
      <c r="Y12" s="23" t="n">
        <f aca="false">IFERROR(IF(ISBLANK(INDEX(RAW_scores!$R$2:$R$13,$AM12)),"",INDEX(RAW_scores!$R$2:$R$13,$AM12)),"")</f>
        <v>2694.96010296699</v>
      </c>
      <c r="Z12" s="23" t="n">
        <f aca="false">IFERROR(IF(ISBLANK(INDEX(RAW_scores!$S$2:$S$13,$AM12)),"",INDEX(RAW_scores!$S$2:$S$13,$AM12)),"")</f>
        <v>4376.80867209451</v>
      </c>
      <c r="AA12" s="23" t="n">
        <f aca="false">IFERROR(IF(ISBLANK(INDEX(RAW_scores!$T$2:$T$13,$AM12)),"",INDEX(RAW_scores!$T$2:$T$13,$AM12)),"")</f>
        <v>6213.89891945409</v>
      </c>
      <c r="AB12" s="23" t="n">
        <f aca="false">IFERROR(IF(ISBLANK(INDEX(RAW_scores!$X$2:$X$13,$AM12)),"",INDEX(RAW_scores!$X$2:$X$13,$AM12)),"")</f>
        <v>2919.29111080584</v>
      </c>
      <c r="AC12" s="26" t="n">
        <f aca="false">IFERROR(IF(ISBLANK(INDEX(RAW_scores!$Y$2:$Y$13,$AM12)),"",INDEX(RAW_scores!$Y$2:$Y$13,$AM12)),"")</f>
        <v>0.071692442741028</v>
      </c>
      <c r="AD12" s="26" t="n">
        <f aca="false">IFERROR(IF(ISBLANK(INDEX(RAW_scores!$Z$2:$Z$13,$AM12)),"",INDEX(RAW_scores!$Z$2:$Z$13,$AM12)),"")</f>
        <v>0.0772291921792767</v>
      </c>
      <c r="AE12" s="28" t="n">
        <f aca="false">IFERROR(IF(ISBLANK(INDEX(RAW_scores!$F$2:$F$13,$AM12)),"",INDEX(RAW_scores!$F$2:$F$13,$AM12)),"")</f>
        <v>68.3</v>
      </c>
      <c r="AF12" s="28" t="n">
        <f aca="false">IFERROR(IF(ISBLANK(INDEX(RAW_scores!$G$2:$G$13,$AM12)),"",INDEX(RAW_scores!$G$2:$G$13,$AM12)),"")</f>
        <v>60.7</v>
      </c>
      <c r="AG12" s="28" t="n">
        <f aca="false">IFERROR(IF(ISBLANK(INDEX(RAW_scores!$H$2:$H$13,$AM12)),"",INDEX(RAW_scores!$H$2:$H$13,$AM12)),"")</f>
        <v>74.8</v>
      </c>
      <c r="AH12" s="28" t="n">
        <f aca="false">IFERROR(IF(ISBLANK(INDEX(RAW_scores!$I$2:$I$13,$AM12)),"",INDEX(RAW_scores!$I$2:$I$13,$AM12)),"")</f>
        <v>67.9</v>
      </c>
      <c r="AI12" s="22" t="str">
        <f aca="false">IFERROR(IF(ISBLANK(INDEX(RAW_scores!$AA$2:$AA$13,$AM12)),"",INDEX(RAW_scores!$AA$2:$AA$13,$AM12)),"")</f>
        <v>SKIP</v>
      </c>
      <c r="AJ12" s="28" t="n">
        <f aca="false">IFERROR(IF(ISBLANK(INDEX(RAW_scores!$AF$2:$AF$13,$AM12)),"",INDEX(RAW_scores!$AF$2:$AF$13,$AM12)),"")</f>
        <v>0.45</v>
      </c>
      <c r="AK12" s="22" t="str">
        <f aca="false">IFERROR(IF(ISBLANK(INDEX(RAW_scores!$AC$2:$AC$13,$AM12)),"",INDEX(RAW_scores!$AC$2:$AC$13,$AM12)),"")</f>
        <v/>
      </c>
      <c r="AL12" s="29" t="n">
        <f aca="false">IFERROR(MATCH($A12,RAW_key_statistics!$A$2:$A$13,0),"")</f>
        <v>11</v>
      </c>
      <c r="AM12" s="29" t="n">
        <f aca="false">IFERROR(MATCH($A12,RAW_scores!$A$2:$A$13,0),"")</f>
        <v>11</v>
      </c>
      <c r="AN12" s="29" t="n">
        <f aca="false">IFERROR(MATCH($A12,RAW_idx_stocks!$A$2:$A$13,0),"")</f>
        <v>11</v>
      </c>
      <c r="AO12" s="29" t="n">
        <f aca="false">IFERROR(MATCH($A12,RAW_analyses!$A$2:$A$13,0),"")</f>
        <v>11</v>
      </c>
    </row>
    <row r="13" customFormat="false" ht="15" hidden="false" customHeight="false" outlineLevel="0" collapsed="false">
      <c r="A13" s="21" t="s">
        <v>51</v>
      </c>
      <c r="B13" s="22" t="str">
        <f aca="false">IFERROR(IF(ISBLANK(INDEX(RAW_scores!$B$2:$B$13,$AM13)),"",INDEX(RAW_scores!$B$2:$B$13,$AM13)),"")</f>
        <v>Unilever Indonesia Tbk.</v>
      </c>
      <c r="C13" s="22" t="str">
        <f aca="false">IFERROR(IF(ISBLANK(INDEX(RAW_scores!$C$2:$C$13,$AM13)),"",INDEX(RAW_scores!$C$2:$C$13,$AM13)),"")</f>
        <v>Consumer Non-Cyclicals</v>
      </c>
      <c r="D13" s="22" t="str">
        <f aca="false">IFERROR(IF(ISBLANK(INDEX(RAW_scores!$D$2:$D$13,$AM13)),"",INDEX(RAW_scores!$D$2:$D$13,$AM13)),"")</f>
        <v>Ordinary</v>
      </c>
      <c r="E13" s="23" t="n">
        <f aca="false">IFERROR(IF(ISBLANK(INDEX(RAW_idx_stocks!$F$2:$F$13,$AN13)),"",INDEX(RAW_idx_stocks!$F$2:$F$13,$AN13)),"")</f>
        <v>1820</v>
      </c>
      <c r="F13" s="24" t="n">
        <f aca="false">IFERROR(IF(ISBLANK(INDEX(RAW_key_statistics!$BS$2:$BS$13,$AL13)),"",INDEX(RAW_key_statistics!$BS$2:$BS$13,$AL13)/1000000000),"")</f>
        <v>69125.846073344</v>
      </c>
      <c r="G13" s="25" t="n">
        <f aca="false">IFERROR(IF(ISBLANK(INDEX(RAW_key_statistics!$C$2:$C$13,$AL13)),"",INDEX(RAW_key_statistics!$C$2:$C$13,$AL13)),"")</f>
        <v>8.43632681338841</v>
      </c>
      <c r="H13" s="25" t="n">
        <f aca="false">IFERROR(IF(ISBLANK(INDEX(RAW_key_statistics!$H$2:$H$13,$AL13)),"",INDEX(RAW_key_statistics!$H$2:$H$13,$AL13)),"")</f>
        <v>22.8678854803521</v>
      </c>
      <c r="I13" s="25" t="n">
        <f aca="false">IFERROR(IF(ISBLANK(INDEX(RAW_key_statistics!$K$2:$K$13,$AL13)),"",INDEX(RAW_key_statistics!$K$2:$K$13,$AL13)),"")</f>
        <v>16.577290002485</v>
      </c>
      <c r="J13" s="25" t="n">
        <f aca="false">IFERROR(IF(ISBLANK(INDEX(RAW_key_statistics!$L$2:$L$13,$AL13)),"",INDEX(RAW_key_statistics!$L$2:$L$13,$AL13)),"")</f>
        <v>15.8422868993058</v>
      </c>
      <c r="K13" s="26" t="n">
        <f aca="false">IFERROR(IF(ISBLANK(INDEX(RAW_key_statistics!$AZ$2:$AZ$13,$AL13)),"",INDEX(RAW_key_statistics!$AZ$2:$AZ$13,$AL13)),"")</f>
        <v>0.12529999</v>
      </c>
      <c r="L13" s="26" t="n">
        <f aca="false">IFERROR(IF(ISBLANK(INDEX(RAW_key_statistics!$AG$2:$AG$13,$AL13)),"",INDEX(RAW_key_statistics!$AG$2:$AG$13,$AL13)),"")</f>
        <v>2.71064480859855</v>
      </c>
      <c r="M13" s="26" t="n">
        <f aca="false">IFERROR(IF(ISBLANK(INDEX(RAW_key_statistics!$AI$2:$AI$13,$AL13)),"",INDEX(RAW_key_statistics!$AI$2:$AI$13,$AL13)),"")</f>
        <v>1.07700688169438</v>
      </c>
      <c r="N13" s="26" t="n">
        <f aca="false">IFERROR(IF(ISBLANK(INDEX(RAW_key_statistics!$CI$2:$CI$13,$AL13)),"",INDEX(RAW_key_statistics!$CI$2:$CI$13,$AL13)),"")</f>
        <v>0.427285198050828</v>
      </c>
      <c r="O13" s="26" t="n">
        <f aca="false">IFERROR(IF(ISBLANK(INDEX(RAW_key_statistics!$CH$2:$CH$13,$AL13)),"",INDEX(RAW_key_statistics!$CH$2:$CH$13,$AL13)),"")</f>
        <v>0.0603234907424612</v>
      </c>
      <c r="P13" s="26" t="n">
        <f aca="false">IFERROR(IF(ISBLANK(INDEX(RAW_key_statistics!$CK$2:$CK$13,$AL13)),"",INDEX(RAW_key_statistics!$CK$2:$CK$13,$AL13)),"")</f>
        <v>0.0375862741302764</v>
      </c>
      <c r="Q13" s="27" t="n">
        <f aca="false">IFERROR(IF(ISBLANK(INDEX(RAW_key_statistics!$BB$2:$BB$13,$AL13)),"",INDEX(RAW_key_statistics!$BB$2:$BB$13,$AL13)),"")</f>
        <v>5</v>
      </c>
      <c r="R13" s="28" t="n">
        <f aca="false">IFERROR(IF(ISBLANK(INDEX(RAW_key_statistics!$AE$2:$AE$13,$AL13)),"",INDEX(RAW_key_statistics!$AE$2:$AE$13,$AL13)),"")</f>
        <v>0.475639744198858</v>
      </c>
      <c r="S13" s="25" t="n">
        <f aca="false">IFERROR(IF(ISBLANK(INDEX(RAW_key_statistics!$V$2:$V$13,$AL13)),"",INDEX(RAW_key_statistics!$V$2:$V$13,$AL13)),"")</f>
        <v>0.571402395648755</v>
      </c>
      <c r="T13" s="25" t="n">
        <f aca="false">IFERROR(IF(ISBLANK(INDEX(RAW_analyses!$N$2:$N$13,$AO13)),"",INDEX(RAW_analyses!$N$2:$N$13,$AO13)),"")</f>
        <v>-0.393512712404084</v>
      </c>
      <c r="U13" s="26" t="n">
        <f aca="false">IFERROR(IF(ISBLANK(INDEX(RAW_key_statistics!$CS$2:$CS$13,$AL13)),"",INDEX(RAW_key_statistics!$CS$2:$CS$13,$AL13)),"")</f>
        <v>-0.0814659563167613</v>
      </c>
      <c r="V13" s="23" t="n">
        <f aca="false">IFERROR(IF(ISBLANK(INDEX(RAW_key_statistics!$CM$2:$CM$13,$AL13)),"",INDEX(RAW_key_statistics!$CM$2:$CM$13,$AL13)),"")</f>
        <v>-172.935774573702</v>
      </c>
      <c r="W13" s="22" t="str">
        <f aca="false">IFERROR(IF(ISBLANK(INDEX(RAW_key_statistics!$CN$2:$CN$13,$AL13)),"",INDEX(RAW_key_statistics!$CN$2:$CN$13,$AL13)),"")</f>
        <v>FALSE</v>
      </c>
      <c r="X13" s="23" t="n">
        <f aca="false">IFERROR(IF(ISBLANK(INDEX(RAW_key_statistics!$CR$2:$CR$13,$AL13)),"",INDEX(RAW_key_statistics!$CR$2:$CR$13,$AL13)),"")</f>
        <v>966.096709134508</v>
      </c>
      <c r="Y13" s="23" t="n">
        <f aca="false">IFERROR(IF(ISBLANK(INDEX(RAW_scores!$R$2:$R$13,$AM13)),"",INDEX(RAW_scores!$R$2:$R$13,$AM13)),"")</f>
        <v>580.237216013122</v>
      </c>
      <c r="Z13" s="23" t="n">
        <f aca="false">IFERROR(IF(ISBLANK(INDEX(RAW_scores!$S$2:$S$13,$AM13)),"",INDEX(RAW_scores!$S$2:$S$13,$AM13)),"")</f>
        <v>730.427905777125</v>
      </c>
      <c r="AA13" s="23" t="n">
        <f aca="false">IFERROR(IF(ISBLANK(INDEX(RAW_scores!$T$2:$T$13,$AM13)),"",INDEX(RAW_scores!$T$2:$T$13,$AM13)),"")</f>
        <v>1006.55456526852</v>
      </c>
      <c r="AB13" s="23" t="n">
        <f aca="false">IFERROR(IF(ISBLANK(INDEX(RAW_scores!$X$2:$X$13,$AM13)),"",INDEX(RAW_scores!$X$2:$X$13,$AM13)),"")</f>
        <v>840.406680677237</v>
      </c>
      <c r="AC13" s="26" t="n">
        <f aca="false">IFERROR(IF(ISBLANK(INDEX(RAW_scores!$Y$2:$Y$13,$AM13)),"",INDEX(RAW_scores!$Y$2:$Y$13,$AM13)),"")</f>
        <v>-1</v>
      </c>
      <c r="AD13" s="26" t="n">
        <f aca="false">IFERROR(IF(ISBLANK(INDEX(RAW_scores!$Z$2:$Z$13,$AM13)),"",INDEX(RAW_scores!$Z$2:$Z$13,$AM13)),"")</f>
        <v>-0.53823808753998</v>
      </c>
      <c r="AE13" s="28" t="n">
        <f aca="false">IFERROR(IF(ISBLANK(INDEX(RAW_scores!$F$2:$F$13,$AM13)),"",INDEX(RAW_scores!$F$2:$F$13,$AM13)),"")</f>
        <v>73.3</v>
      </c>
      <c r="AF13" s="28" t="n">
        <f aca="false">IFERROR(IF(ISBLANK(INDEX(RAW_scores!$G$2:$G$13,$AM13)),"",INDEX(RAW_scores!$G$2:$G$13,$AM13)),"")</f>
        <v>60.1</v>
      </c>
      <c r="AG13" s="28" t="n">
        <f aca="false">IFERROR(IF(ISBLANK(INDEX(RAW_scores!$H$2:$H$13,$AM13)),"",INDEX(RAW_scores!$H$2:$H$13,$AM13)),"")</f>
        <v>48</v>
      </c>
      <c r="AH13" s="28" t="n">
        <f aca="false">IFERROR(IF(ISBLANK(INDEX(RAW_scores!$I$2:$I$13,$AM13)),"",INDEX(RAW_scores!$I$2:$I$13,$AM13)),"")</f>
        <v>60.5</v>
      </c>
      <c r="AI13" s="22" t="str">
        <f aca="false">IFERROR(IF(ISBLANK(INDEX(RAW_scores!$AA$2:$AA$13,$AM13)),"",INDEX(RAW_scores!$AA$2:$AA$13,$AM13)),"")</f>
        <v>SKIP</v>
      </c>
      <c r="AJ13" s="28" t="n">
        <f aca="false">IFERROR(IF(ISBLANK(INDEX(RAW_scores!$AF$2:$AF$13,$AM13)),"",INDEX(RAW_scores!$AF$2:$AF$13,$AM13)),"")</f>
        <v>0.45</v>
      </c>
      <c r="AK13" s="22" t="str">
        <f aca="false">IFERROR(IF(ISBLANK(INDEX(RAW_scores!$AC$2:$AC$13,$AM13)),"",INDEX(RAW_scores!$AC$2:$AC$13,$AM13)),"")</f>
        <v/>
      </c>
      <c r="AL13" s="29" t="n">
        <f aca="false">IFERROR(MATCH($A13,RAW_key_statistics!$A$2:$A$13,0),"")</f>
        <v>12</v>
      </c>
      <c r="AM13" s="29" t="n">
        <f aca="false">IFERROR(MATCH($A13,RAW_scores!$A$2:$A$13,0),"")</f>
        <v>12</v>
      </c>
      <c r="AN13" s="29" t="n">
        <f aca="false">IFERROR(MATCH($A13,RAW_idx_stocks!$A$2:$A$13,0),"")</f>
        <v>12</v>
      </c>
      <c r="AO13" s="29" t="n">
        <f aca="false">IFERROR(MATCH($A13,RAW_analyses!$A$2:$A$13,0),"")</f>
        <v>12</v>
      </c>
    </row>
  </sheetData>
  <autoFilter ref="A1:AK13"/>
  <conditionalFormatting sqref="AI2:AI13">
    <cfRule type="cellIs" priority="2" operator="equal" aboveAverage="0" equalAverage="0" bottom="0" percent="0" rank="0" text="" dxfId="0">
      <formula>"BUY"</formula>
    </cfRule>
    <cfRule type="cellIs" priority="3" operator="equal" aboveAverage="0" equalAverage="0" bottom="0" percent="0" rank="0" text="" dxfId="1">
      <formula>"DEEP VALUE"</formula>
    </cfRule>
    <cfRule type="cellIs" priority="4" operator="equal" aboveAverage="0" equalAverage="0" bottom="0" percent="0" rank="0" text="" dxfId="2">
      <formula>"WATCH"</formula>
    </cfRule>
    <cfRule type="cellIs" priority="5" operator="equal" aboveAverage="0" equalAverage="0" bottom="0" percent="0" rank="0" text="" dxfId="3">
      <formula>"SKIP"</formula>
    </cfRule>
  </conditionalFormatting>
  <conditionalFormatting sqref="AC2:AC13">
    <cfRule type="colorScale" priority="6">
      <colorScale>
        <cfvo type="num" val="-0.5"/>
        <cfvo type="num" val="0"/>
        <cfvo type="num" val="0.6"/>
        <color rgb="FFF8696B"/>
        <color rgb="FFFFEB84"/>
        <color rgb="FF63BE7B"/>
      </colorScale>
    </cfRule>
  </conditionalFormatting>
  <conditionalFormatting sqref="A2:AK13">
    <cfRule type="expression" priority="7" aboveAverage="0" equalAverage="0" bottom="0" percent="0" rank="0" text="" dxfId="22">
      <formula>AND(ISNUMBER($AJ2),$AJ2&gt;3)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18"/>
    <col collapsed="false" customWidth="true" hidden="false" outlineLevel="0" max="8" min="6" style="0" width="16"/>
    <col collapsed="false" customWidth="true" hidden="true" outlineLevel="0" max="15" min="14" style="0" width="13"/>
  </cols>
  <sheetData>
    <row r="1" customFormat="false" ht="19.7" hidden="false" customHeight="false" outlineLevel="0" collapsed="false">
      <c r="A1" s="1" t="s">
        <v>82</v>
      </c>
      <c r="N1" s="14" t="s">
        <v>83</v>
      </c>
      <c r="O1" s="29" t="n">
        <f aca="false">IFERROR(MATCH($B$2,RAW_key_statistics!$A$2:$A$13,0),"")</f>
        <v>1</v>
      </c>
    </row>
    <row r="2" customFormat="false" ht="15" hidden="false" customHeight="false" outlineLevel="0" collapsed="false">
      <c r="A2" s="4" t="s">
        <v>84</v>
      </c>
      <c r="B2" s="30" t="s">
        <v>44</v>
      </c>
      <c r="C2" s="14" t="s">
        <v>85</v>
      </c>
      <c r="N2" s="14" t="s">
        <v>86</v>
      </c>
      <c r="O2" s="29" t="n">
        <f aca="false">IFERROR(MATCH($B$2,RAW_scores!$A$2:$A$13,0),"")</f>
        <v>1</v>
      </c>
    </row>
    <row r="3" customFormat="false" ht="15" hidden="false" customHeight="false" outlineLevel="0" collapsed="false">
      <c r="N3" s="14" t="s">
        <v>87</v>
      </c>
      <c r="O3" s="29" t="n">
        <f aca="false">IFERROR(MATCH($B$2,RAW_idx_stocks!$A$2:$A$13,0),"")</f>
        <v>1</v>
      </c>
    </row>
    <row r="4" customFormat="false" ht="15" hidden="false" customHeight="false" outlineLevel="0" collapsed="false">
      <c r="A4" s="3" t="s">
        <v>88</v>
      </c>
      <c r="B4" s="3"/>
      <c r="C4" s="3"/>
      <c r="D4" s="3"/>
      <c r="E4" s="3"/>
      <c r="F4" s="3"/>
      <c r="G4" s="3"/>
      <c r="H4" s="3"/>
      <c r="N4" s="14" t="s">
        <v>89</v>
      </c>
      <c r="O4" s="29" t="n">
        <f aca="false">IFERROR(MATCH($B$2,RAW_analyses!$A$2:$A$13,0),"")</f>
        <v>1</v>
      </c>
    </row>
    <row r="5" customFormat="false" ht="15" hidden="false" customHeight="false" outlineLevel="0" collapsed="false">
      <c r="A5" s="9" t="s">
        <v>28</v>
      </c>
      <c r="B5" s="31" t="str">
        <f aca="false">IFERROR(IF(ISBLANK(INDEX(RAW_scores!$B$2:$B$13,$O$2)),"",INDEX(RAW_scores!$B$2:$B$13,$O$2)),"")</f>
        <v>Astra Agro Lestari Tbk.</v>
      </c>
    </row>
    <row r="6" customFormat="false" ht="15" hidden="false" customHeight="false" outlineLevel="0" collapsed="false">
      <c r="A6" s="9" t="s">
        <v>29</v>
      </c>
      <c r="B6" s="31" t="str">
        <f aca="false">IFERROR(IF(ISBLANK(INDEX(RAW_scores!$C$2:$C$13,$O$2)),"",INDEX(RAW_scores!$C$2:$C$13,$O$2)),"")</f>
        <v>Consumer Non-Cyclicals</v>
      </c>
    </row>
    <row r="7" customFormat="false" ht="15" hidden="false" customHeight="false" outlineLevel="0" collapsed="false">
      <c r="A7" s="9" t="s">
        <v>30</v>
      </c>
      <c r="B7" s="31" t="str">
        <f aca="false">IFERROR(IF(ISBLANK(INDEX(RAW_scores!$D$2:$D$13,$O$2)),"",INDEX(RAW_scores!$D$2:$D$13,$O$2)),"")</f>
        <v>Ordinary</v>
      </c>
    </row>
    <row r="8" customFormat="false" ht="15" hidden="false" customHeight="false" outlineLevel="0" collapsed="false">
      <c r="A8" s="9" t="s">
        <v>90</v>
      </c>
      <c r="B8" s="31" t="str">
        <f aca="false">IFERROR(IF(ISBLANK(INDEX(RAW_key_statistics!$DX$2:$DX$13,$O$1)),"",INDEX(RAW_key_statistics!$DX$2:$DX$13,$O$1)),"")</f>
        <v>IDR</v>
      </c>
    </row>
    <row r="9" customFormat="false" ht="15" hidden="false" customHeight="false" outlineLevel="0" collapsed="false">
      <c r="A9" s="9" t="s">
        <v>91</v>
      </c>
      <c r="B9" s="18" t="n">
        <f aca="false">IFERROR(IF(ISBLANK(INDEX(RAW_idx_stocks!$F$2:$F$13,$O$3)),"",INDEX(RAW_idx_stocks!$F$2:$F$13,$O$3)),"")</f>
        <v>7325</v>
      </c>
    </row>
    <row r="10" customFormat="false" ht="15" hidden="false" customHeight="false" outlineLevel="0" collapsed="false">
      <c r="A10" s="9" t="s">
        <v>92</v>
      </c>
      <c r="B10" s="20" t="n">
        <f aca="false">IFERROR(IF(ISBLANK(INDEX(RAW_key_statistics!$BS$2:$BS$13,$O$1)),"",INDEX(RAW_key_statistics!$BS$2:$BS$13,$O$1)/1000000000),"")</f>
        <v>14098.342346752</v>
      </c>
    </row>
    <row r="11" customFormat="false" ht="15" hidden="false" customHeight="false" outlineLevel="0" collapsed="false">
      <c r="A11" s="9" t="s">
        <v>93</v>
      </c>
      <c r="B11" s="20" t="n">
        <f aca="false">IFERROR(IF(ISBLANK(INDEX(RAW_key_statistics!$BU$2:$BU$13,$O$1)),"",INDEX(RAW_key_statistics!$BU$2:$BU$13,$O$1)),"")</f>
        <v>1924688333</v>
      </c>
    </row>
    <row r="12" customFormat="false" ht="15" hidden="false" customHeight="false" outlineLevel="0" collapsed="false">
      <c r="A12" s="9" t="s">
        <v>94</v>
      </c>
      <c r="B12" s="31" t="str">
        <f aca="false">IFERROR(IF(ISBLANK(INDEX(RAW_key_statistics!$DV$2:$DV$13,$O$1)),"",INDEX(RAW_key_statistics!$DV$2:$DV$13,$O$1)),"")</f>
        <v>2026-06-30</v>
      </c>
    </row>
    <row r="13" customFormat="false" ht="15" hidden="false" customHeight="false" outlineLevel="0" collapsed="false">
      <c r="A13" s="9" t="s">
        <v>95</v>
      </c>
      <c r="B13" s="19" t="n">
        <f aca="false">IFERROR(IF(ISBLANK(INDEX(RAW_key_statistics!$DW$2:$DW$13,$O$1)),"",INDEX(RAW_key_statistics!$DW$2:$DW$13,$O$1)),"")</f>
        <v>0.45</v>
      </c>
    </row>
    <row r="14" customFormat="false" ht="15" hidden="false" customHeight="false" outlineLevel="0" collapsed="false">
      <c r="A14" s="9" t="s">
        <v>96</v>
      </c>
      <c r="B14" s="19" t="n">
        <f aca="false">IFERROR(IF(ISBLANK(INDEX(RAW_key_statistics!$CG$2:$CG$13,$O$1)),"",INDEX(RAW_key_statistics!$CG$2:$CG$13,$O$1)),"")</f>
        <v>0.136</v>
      </c>
    </row>
    <row r="16" customFormat="false" ht="15" hidden="false" customHeight="false" outlineLevel="0" collapsed="false">
      <c r="A16" s="3" t="s">
        <v>97</v>
      </c>
      <c r="B16" s="3"/>
      <c r="C16" s="3"/>
      <c r="D16" s="3"/>
      <c r="E16" s="3"/>
      <c r="F16" s="3"/>
      <c r="G16" s="3"/>
      <c r="H16" s="3"/>
    </row>
    <row r="17" customFormat="false" ht="15" hidden="false" customHeight="false" outlineLevel="0" collapsed="false">
      <c r="A17" s="8" t="s">
        <v>98</v>
      </c>
      <c r="B17" s="8" t="s">
        <v>99</v>
      </c>
      <c r="C17" s="8" t="s">
        <v>100</v>
      </c>
      <c r="D17" s="8" t="s">
        <v>72</v>
      </c>
    </row>
    <row r="18" customFormat="false" ht="15" hidden="false" customHeight="false" outlineLevel="0" collapsed="false">
      <c r="A18" s="9" t="s">
        <v>101</v>
      </c>
      <c r="B18" s="18" t="n">
        <f aca="false">IFERROR(IF(ISBLANK(INDEX(RAW_scores!$R$2:$R$13,$O$2)),"",INDEX(RAW_scores!$R$2:$R$13,$O$2)),"")</f>
        <v>7686.149289814</v>
      </c>
      <c r="C18" s="11" t="n">
        <f aca="false">IF(AND(ISNUMBER(B18),B18&gt;0,ISNUMBER($B$9)),1-$B$9/B18,"")</f>
        <v>0.046987025127473</v>
      </c>
      <c r="D18" s="11" t="n">
        <f aca="false">IF(AND(ISNUMBER(B18),B18&gt;0,ISNUMBER($B$9),$B$9&gt;0),B18/$B$9-1,"")</f>
        <v>0.0493036573124912</v>
      </c>
    </row>
    <row r="19" customFormat="false" ht="15" hidden="false" customHeight="false" outlineLevel="0" collapsed="false">
      <c r="A19" s="9" t="s">
        <v>102</v>
      </c>
      <c r="B19" s="18" t="n">
        <f aca="false">IFERROR(IF(ISBLANK(INDEX(RAW_scores!$S$2:$S$13,$O$2)),"",INDEX(RAW_scores!$S$2:$S$13,$O$2)),"")</f>
        <v>10632.1442667336</v>
      </c>
      <c r="C19" s="11" t="n">
        <f aca="false">IF(AND(ISNUMBER(B19),B19&gt;0,ISNUMBER($B$9)),1-$B$9/B19,"")</f>
        <v>0.311051485360405</v>
      </c>
      <c r="D19" s="11" t="n">
        <f aca="false">IF(AND(ISNUMBER(B19),B19&gt;0,ISNUMBER($B$9),$B$9&gt;0),B19/$B$9-1,"")</f>
        <v>0.451487271909024</v>
      </c>
    </row>
    <row r="20" customFormat="false" ht="15" hidden="false" customHeight="false" outlineLevel="0" collapsed="false">
      <c r="A20" s="9" t="s">
        <v>103</v>
      </c>
      <c r="B20" s="18" t="n">
        <f aca="false">IFERROR(IF(ISBLANK(INDEX(RAW_scores!$T$2:$T$13,$O$2)),"",INDEX(RAW_scores!$T$2:$T$13,$O$2)),"")</f>
        <v>13770.4029516587</v>
      </c>
      <c r="C20" s="11" t="n">
        <f aca="false">IF(AND(ISNUMBER(B20),B20&gt;0,ISNUMBER($B$9)),1-$B$9/B20,"")</f>
        <v>0.46806204395655</v>
      </c>
      <c r="D20" s="11" t="n">
        <f aca="false">IF(AND(ISNUMBER(B20),B20&gt;0,ISNUMBER($B$9),$B$9&gt;0),B20/$B$9-1,"")</f>
        <v>0.879918491694015</v>
      </c>
    </row>
    <row r="21" customFormat="false" ht="15" hidden="false" customHeight="false" outlineLevel="0" collapsed="false">
      <c r="A21" s="9" t="s">
        <v>104</v>
      </c>
      <c r="B21" s="18" t="n">
        <f aca="false">IFERROR(IF(ISBLANK(INDEX(RAW_key_statistics!$CR$2:$CR$13,$O$1)),"",INDEX(RAW_key_statistics!$CR$2:$CR$13,$O$1)),"")</f>
        <v>9980.47381004206</v>
      </c>
      <c r="C21" s="11" t="n">
        <f aca="false">IF(AND(ISNUMBER(B21),B21&gt;0,ISNUMBER($B$9)),1-$B$9/B21,"")</f>
        <v>0.266066908303511</v>
      </c>
      <c r="D21" s="11" t="n">
        <f aca="false">IF(AND(ISNUMBER(B21),B21&gt;0,ISNUMBER($B$9),$B$9&gt;0),B21/$B$9-1,"")</f>
        <v>0.362522021848745</v>
      </c>
    </row>
    <row r="22" customFormat="false" ht="15" hidden="false" customHeight="false" outlineLevel="0" collapsed="false">
      <c r="A22" s="9" t="s">
        <v>105</v>
      </c>
      <c r="B22" s="18" t="str">
        <f aca="false">IFERROR(IF(ISBLANK(INDEX(RAW_scores!$AD$2:$AD$13,$O$2)),"",INDEX(RAW_scores!$AD$2:$AD$13,$O$2)),"")</f>
        <v/>
      </c>
      <c r="C22" s="11" t="str">
        <f aca="false">IF(AND(ISNUMBER(B22),B22&gt;0,ISNUMBER($B$9)),1-$B$9/B22,"")</f>
        <v/>
      </c>
      <c r="D22" s="11" t="str">
        <f aca="false">IF(AND(ISNUMBER(B22),B22&gt;0,ISNUMBER($B$9),$B$9&gt;0),B22/$B$9-1,"")</f>
        <v/>
      </c>
    </row>
    <row r="23" customFormat="false" ht="15" hidden="false" customHeight="false" outlineLevel="0" collapsed="false">
      <c r="A23" s="9" t="s">
        <v>106</v>
      </c>
      <c r="B23" s="18" t="str">
        <f aca="false">IFERROR(IF(ISBLANK(INDEX(RAW_scores!$AE$2:$AE$13,$O$2)),"",INDEX(RAW_scores!$AE$2:$AE$13,$O$2)),"")</f>
        <v/>
      </c>
      <c r="C23" s="11" t="str">
        <f aca="false">IF(AND(ISNUMBER(B23),B23&gt;0,ISNUMBER($B$9)),1-$B$9/B23,"")</f>
        <v/>
      </c>
      <c r="D23" s="11" t="str">
        <f aca="false">IF(AND(ISNUMBER(B23),B23&gt;0,ISNUMBER($B$9),$B$9&gt;0),B23/$B$9-1,"")</f>
        <v/>
      </c>
    </row>
    <row r="24" customFormat="false" ht="15" hidden="false" customHeight="false" outlineLevel="0" collapsed="false">
      <c r="A24" s="9" t="s">
        <v>107</v>
      </c>
      <c r="B24" s="18" t="n">
        <f aca="false">IFERROR(IF(ISBLANK(INDEX(RAW_key_statistics!$CM$2:$CM$13,$O$1)),"",INDEX(RAW_key_statistics!$CM$2:$CM$13,$O$1)),"")</f>
        <v>3507.99445512096</v>
      </c>
      <c r="C24" s="11" t="n">
        <f aca="false">IF(AND(ISNUMBER(B24),B24&gt;0,ISNUMBER($B$9)),1-$B$9/B24,"")</f>
        <v>-1.08808767907458</v>
      </c>
      <c r="D24" s="11" t="n">
        <f aca="false">IF(AND(ISNUMBER(B24),B24&gt;0,ISNUMBER($B$9),$B$9&gt;0),B24/$B$9-1,"")</f>
        <v>-0.521092907150722</v>
      </c>
    </row>
    <row r="25" customFormat="false" ht="15" hidden="false" customHeight="false" outlineLevel="0" collapsed="false">
      <c r="A25" s="9" t="s">
        <v>108</v>
      </c>
      <c r="B25" s="18" t="n">
        <f aca="false">IFERROR(IF(ISBLANK(INDEX(RAW_scores!$X$2:$X$13,$O$2)),"",INDEX(RAW_scores!$X$2:$X$13,$O$2)),"")</f>
        <v>10328.0313869442</v>
      </c>
      <c r="C25" s="13" t="n">
        <f aca="false">IFERROR(IF(ISBLANK(INDEX(RAW_scores!$Y$2:$Y$13,$O$2)),"",INDEX(RAW_scores!$Y$2:$Y$13,$O$2)),"")</f>
        <v>0.290765129813643</v>
      </c>
      <c r="D25" s="13" t="n">
        <f aca="false">IFERROR(IF(ISBLANK(INDEX(RAW_scores!$Z$2:$Z$13,$O$2)),"",INDEX(RAW_scores!$Z$2:$Z$13,$O$2)),"")</f>
        <v>0.409970155214227</v>
      </c>
    </row>
    <row r="26" customFormat="false" ht="15" hidden="false" customHeight="false" outlineLevel="0" collapsed="false">
      <c r="A26" s="9" t="s">
        <v>109</v>
      </c>
      <c r="B26" s="32" t="str">
        <f aca="false">IF(NOT(ISNUMBER($C$25)),"n/a",IF($C$25&gt;=Setup!$B$9,"BUY",IF($C$25&gt;=Setup!$B$10,"WATCH","SKIP")))</f>
        <v>WATCH</v>
      </c>
      <c r="C26" s="14" t="s">
        <v>110</v>
      </c>
    </row>
    <row r="27" customFormat="false" ht="15" hidden="false" customHeight="false" outlineLevel="0" collapsed="false">
      <c r="A27" s="9" t="s">
        <v>111</v>
      </c>
      <c r="B27" s="31" t="str">
        <f aca="false">IFERROR(IF(ISBLANK(INDEX(RAW_scores!$AA$2:$AA$13,$O$2)),"",INDEX(RAW_scores!$AA$2:$AA$13,$O$2)),"")</f>
        <v>WATCH</v>
      </c>
    </row>
    <row r="29" customFormat="false" ht="15" hidden="false" customHeight="false" outlineLevel="0" collapsed="false">
      <c r="A29" s="3" t="s">
        <v>112</v>
      </c>
      <c r="B29" s="3"/>
      <c r="C29" s="3"/>
      <c r="D29" s="3"/>
      <c r="E29" s="3"/>
      <c r="F29" s="3"/>
      <c r="G29" s="3"/>
      <c r="H29" s="3"/>
    </row>
    <row r="30" customFormat="false" ht="15" hidden="false" customHeight="false" outlineLevel="0" collapsed="false">
      <c r="A30" s="9" t="s">
        <v>113</v>
      </c>
      <c r="B30" s="13" t="n">
        <f aca="false">IFERROR(IF(ISBLANK(INDEX(RAW_key_statistics!$AG$2:$AG$13,$O$1)),"",INDEX(RAW_key_statistics!$AG$2:$AG$13,$O$1)),"")</f>
        <v>0.0802387606680365</v>
      </c>
    </row>
    <row r="31" customFormat="false" ht="15" hidden="false" customHeight="false" outlineLevel="0" collapsed="false">
      <c r="A31" s="9" t="s">
        <v>114</v>
      </c>
      <c r="B31" s="13" t="n">
        <f aca="false">IFERROR(IF(ISBLANK(INDEX(RAW_key_statistics!$AF$2:$AF$13,$O$1)),"",INDEX(RAW_key_statistics!$AF$2:$AF$13,$O$1)),"")</f>
        <v>0.0667342057056556</v>
      </c>
    </row>
    <row r="32" customFormat="false" ht="15" hidden="false" customHeight="false" outlineLevel="0" collapsed="false">
      <c r="A32" s="9" t="s">
        <v>115</v>
      </c>
      <c r="B32" s="13" t="n">
        <f aca="false">IFERROR(IF(ISBLANK(INDEX(RAW_key_statistics!$AI$2:$AI$13,$O$1)),"",INDEX(RAW_key_statistics!$AI$2:$AI$13,$O$1)),"")</f>
        <v>0.0851122285217392</v>
      </c>
    </row>
    <row r="33" customFormat="false" ht="15" hidden="false" customHeight="false" outlineLevel="0" collapsed="false">
      <c r="A33" s="9" t="s">
        <v>116</v>
      </c>
      <c r="B33" s="13" t="n">
        <f aca="false">IFERROR(IF(ISBLANK(INDEX(RAW_key_statistics!$CI$2:$CI$13,$O$1)),"",INDEX(RAW_key_statistics!$CI$2:$CI$13,$O$1)),"")</f>
        <v>0.140091279165906</v>
      </c>
    </row>
    <row r="34" customFormat="false" ht="15" hidden="false" customHeight="false" outlineLevel="0" collapsed="false">
      <c r="A34" s="9" t="s">
        <v>117</v>
      </c>
      <c r="B34" s="13" t="n">
        <f aca="false">IFERROR(IF(ISBLANK(INDEX(RAW_key_statistics!$AQ$2:$AQ$13,$O$1)),"",INDEX(RAW_key_statistics!$AQ$2:$AQ$13,$O$1)),"")</f>
        <v>0.176200775637096</v>
      </c>
    </row>
    <row r="35" customFormat="false" ht="15" hidden="false" customHeight="false" outlineLevel="0" collapsed="false">
      <c r="A35" s="9" t="s">
        <v>118</v>
      </c>
      <c r="B35" s="13" t="n">
        <f aca="false">IFERROR(IF(ISBLANK(INDEX(RAW_key_statistics!$AR$2:$AR$13,$O$1)),"",INDEX(RAW_key_statistics!$AR$2:$AR$13,$O$1)),"")</f>
        <v>0.114826079804714</v>
      </c>
    </row>
    <row r="36" customFormat="false" ht="15" hidden="false" customHeight="false" outlineLevel="0" collapsed="false">
      <c r="A36" s="9" t="s">
        <v>119</v>
      </c>
      <c r="B36" s="13" t="n">
        <f aca="false">IFERROR(IF(ISBLANK(INDEX(RAW_key_statistics!$AS$2:$AS$13,$O$1)),"",INDEX(RAW_key_statistics!$AS$2:$AS$13,$O$1)),"")</f>
        <v>0.0935232600890317</v>
      </c>
    </row>
    <row r="37" customFormat="false" ht="15" hidden="false" customHeight="false" outlineLevel="0" collapsed="false">
      <c r="A37" s="9" t="s">
        <v>120</v>
      </c>
      <c r="B37" s="13" t="n">
        <f aca="false">IFERROR(IF(ISBLANK(INDEX(RAW_key_statistics!$CW$2:$CW$13,$O$1)),"",INDEX(RAW_key_statistics!$CW$2:$CW$13,$O$1)),"")</f>
        <v>0.157381561474312</v>
      </c>
    </row>
    <row r="38" customFormat="false" ht="15" hidden="false" customHeight="false" outlineLevel="0" collapsed="false">
      <c r="A38" s="9" t="s">
        <v>121</v>
      </c>
      <c r="B38" s="13" t="n">
        <f aca="false">IFERROR(IF(ISBLANK(INDEX(RAW_key_statistics!$CX$2:$CX$13,$O$1)),"",INDEX(RAW_key_statistics!$CX$2:$CX$13,$O$1)),"")</f>
        <v>0.0872360123140327</v>
      </c>
    </row>
    <row r="39" customFormat="false" ht="15" hidden="false" customHeight="false" outlineLevel="0" collapsed="false">
      <c r="A39" s="9" t="s">
        <v>122</v>
      </c>
      <c r="B39" s="13" t="n">
        <f aca="false">IFERROR(IF(ISBLANK(INDEX(RAW_key_statistics!$CY$2:$CY$13,$O$1)),"",INDEX(RAW_key_statistics!$CY$2:$CY$13,$O$1)),"")</f>
        <v>0.0565796468102587</v>
      </c>
    </row>
    <row r="40" customFormat="false" ht="15" hidden="false" customHeight="false" outlineLevel="0" collapsed="false">
      <c r="A40" s="9" t="s">
        <v>123</v>
      </c>
      <c r="B40" s="13" t="n">
        <f aca="false">IFERROR(IF(ISBLANK(INDEX(RAW_key_statistics!$CS$2:$CS$13,$O$1)),"",INDEX(RAW_key_statistics!$CS$2:$CS$13,$O$1)),"")</f>
        <v>0.0949386633877265</v>
      </c>
    </row>
    <row r="41" customFormat="false" ht="15" hidden="false" customHeight="false" outlineLevel="0" collapsed="false">
      <c r="A41" s="9" t="s">
        <v>124</v>
      </c>
      <c r="B41" s="13" t="n">
        <f aca="false">IFERROR(IF(ISBLANK(INDEX(RAW_key_statistics!$CT$2:$CT$13,$O$1)),"",INDEX(RAW_key_statistics!$CT$2:$CT$13,$O$1)),"")</f>
        <v>0.0949386633877265</v>
      </c>
    </row>
    <row r="42" customFormat="false" ht="15" hidden="false" customHeight="false" outlineLevel="0" collapsed="false">
      <c r="A42" s="9" t="s">
        <v>125</v>
      </c>
      <c r="B42" s="12" t="str">
        <f aca="false">IFERROR(IF(AND(ISNUMBER(INDEX(RAW_key_statistics!$CB$2:$CB$13,$O$1)),ISNUMBER(INDEX(RAW_key_statistics!$BN$2:$BN$13,$O$1)),INDEX(RAW_key_statistics!$BN$2:$BN$13,$O$1)&lt;&gt;0),INDEX(RAW_key_statistics!$CB$2:$CB$13,$O$1)/INDEX(RAW_key_statistics!$BN$2:$BN$13,$O$1),""),"")</f>
        <v/>
      </c>
    </row>
    <row r="44" customFormat="false" ht="15" hidden="false" customHeight="false" outlineLevel="0" collapsed="false">
      <c r="A44" s="3" t="s">
        <v>126</v>
      </c>
      <c r="B44" s="3"/>
      <c r="C44" s="3"/>
      <c r="D44" s="3"/>
      <c r="E44" s="3"/>
      <c r="F44" s="3"/>
      <c r="G44" s="3"/>
      <c r="H44" s="3"/>
    </row>
    <row r="45" customFormat="false" ht="15" hidden="false" customHeight="false" outlineLevel="0" collapsed="false">
      <c r="A45" s="9" t="s">
        <v>127</v>
      </c>
      <c r="B45" s="12" t="n">
        <f aca="false">IFERROR(IF(ISBLANK(INDEX(RAW_key_statistics!$V$2:$V$13,$O$1)),"",INDEX(RAW_key_statistics!$V$2:$V$13,$O$1)),"")</f>
        <v>3.33230302980731</v>
      </c>
    </row>
    <row r="46" customFormat="false" ht="15" hidden="false" customHeight="false" outlineLevel="0" collapsed="false">
      <c r="A46" s="9" t="s">
        <v>128</v>
      </c>
      <c r="B46" s="20" t="n">
        <f aca="false">IFERROR(IF(ISBLANK(INDEX(RAW_key_statistics!$BR$2:$BR$13,$O$1)),"",INDEX(RAW_key_statistics!$BR$2:$BR$13,$O$1)/1000000000),"")</f>
        <v>7698.86</v>
      </c>
    </row>
    <row r="47" customFormat="false" ht="15" hidden="false" customHeight="false" outlineLevel="0" collapsed="false">
      <c r="A47" s="9" t="s">
        <v>129</v>
      </c>
      <c r="B47" s="12" t="n">
        <f aca="false">IFERROR(IF(ISBLANK(INDEX(RAW_key_statistics!$AC$2:$AC$13,$O$1)),"",INDEX(RAW_key_statistics!$AC$2:$AC$13,$O$1)),"")</f>
        <v>59.616931194861</v>
      </c>
    </row>
    <row r="48" customFormat="false" ht="15" hidden="false" customHeight="false" outlineLevel="0" collapsed="false">
      <c r="A48" s="9" t="s">
        <v>130</v>
      </c>
      <c r="B48" s="19" t="n">
        <f aca="false">IFERROR(IF(ISBLANK(INDEX(RAW_key_statistics!$AE$2:$AE$13,$O$1)),"",INDEX(RAW_key_statistics!$AE$2:$AE$13,$O$1)),"")</f>
        <v>10.4940987900542</v>
      </c>
    </row>
    <row r="49" customFormat="false" ht="15" hidden="false" customHeight="false" outlineLevel="0" collapsed="false">
      <c r="A49" s="9" t="s">
        <v>131</v>
      </c>
      <c r="B49" s="12" t="n">
        <f aca="false">IFERROR(IF(ISBLANK(INDEX(RAW_analyses!$N$2:$N$13,$O$4)),"",INDEX(RAW_analyses!$N$2:$N$13,$O$4)),"")</f>
        <v>-0.214568576082513</v>
      </c>
    </row>
    <row r="50" customFormat="false" ht="15" hidden="false" customHeight="false" outlineLevel="0" collapsed="false">
      <c r="A50" s="9" t="s">
        <v>132</v>
      </c>
      <c r="B50" s="20" t="n">
        <f aca="false">IFERROR(IF(ISBLANK(INDEX(RAW_key_statistics!$BW$2:$BW$13,$O$1)),"",INDEX(RAW_key_statistics!$BW$2:$BW$13,$O$1)/1000000000),"")</f>
        <v>0</v>
      </c>
    </row>
    <row r="51" customFormat="false" ht="15" hidden="false" customHeight="false" outlineLevel="0" collapsed="false">
      <c r="A51" s="9" t="s">
        <v>133</v>
      </c>
      <c r="B51" s="20" t="n">
        <f aca="false">IFERROR(IF(ISBLANK(INDEX(RAW_key_statistics!$BX$2:$BX$13,$O$1)),"",INDEX(RAW_key_statistics!$BX$2:$BX$13,$O$1)/1000000000),"")</f>
        <v>-5149.236</v>
      </c>
    </row>
    <row r="52" customFormat="false" ht="15" hidden="false" customHeight="false" outlineLevel="0" collapsed="false">
      <c r="A52" s="9" t="s">
        <v>134</v>
      </c>
      <c r="B52" s="12" t="n">
        <f aca="false">IFERROR(IF(AND(ISNUMBER(INDEX(RAW_key_statistics!$BX$2:$BX$13,$O$1)),ISNUMBER(INDEX(RAW_key_statistics!$BM$2:$BM$13,$O$1)),INDEX(RAW_key_statistics!$BM$2:$BM$13,$O$1)&lt;&gt;0),INDEX(RAW_key_statistics!$BX$2:$BX$13,$O$1)/INDEX(RAW_key_statistics!$BM$2:$BM$13,$O$1),""),"")</f>
        <v>-1.70198821718873</v>
      </c>
    </row>
    <row r="53" customFormat="false" ht="15" hidden="false" customHeight="false" outlineLevel="0" collapsed="false">
      <c r="A53" s="9" t="s">
        <v>135</v>
      </c>
      <c r="B53" s="11" t="n">
        <f aca="false">IFERROR(IF(ISNUMBER($B$14),Setup!$B$7+$B$14*Setup!$B$8,Setup!$B$7+Setup!$B$8),"")</f>
        <v>0.07248</v>
      </c>
      <c r="C53" s="14" t="s">
        <v>136</v>
      </c>
    </row>
    <row r="54" customFormat="false" ht="15" hidden="false" customHeight="false" outlineLevel="0" collapsed="false">
      <c r="A54" s="9" t="s">
        <v>137</v>
      </c>
      <c r="B54" s="33" t="n">
        <f aca="false">IFERROR(IF(AND(ISNUMBER(INDEX(RAW_key_statistics!$CO$2:$CO$13,$O$1)),ISNUMBER(INDEX(RAW_key_statistics!$BU$2:$BU$13,$O$1)),INDEX(RAW_key_statistics!$BU$2:$BU$13,$O$1)&gt;0,Setup!$B$5&gt;0),INDEX(RAW_key_statistics!$CO$2:$CO$13,$O$1)*(1-Setup!$B$4)/Setup!$B$5/INDEX(RAW_key_statistics!$BU$2:$BU$13,$O$1),""),"")</f>
        <v>7305.11286369397</v>
      </c>
      <c r="C54" s="14" t="s">
        <v>138</v>
      </c>
    </row>
    <row r="56" customFormat="false" ht="15" hidden="false" customHeight="false" outlineLevel="0" collapsed="false">
      <c r="A56" s="3" t="s">
        <v>139</v>
      </c>
      <c r="B56" s="3"/>
      <c r="C56" s="3"/>
      <c r="D56" s="3"/>
      <c r="E56" s="3"/>
      <c r="F56" s="3"/>
      <c r="G56" s="3"/>
      <c r="H56" s="3"/>
    </row>
    <row r="57" customFormat="false" ht="15" hidden="false" customHeight="false" outlineLevel="0" collapsed="false">
      <c r="A57" s="8" t="s">
        <v>140</v>
      </c>
      <c r="B57" s="8" t="s">
        <v>141</v>
      </c>
      <c r="C57" s="8" t="s">
        <v>142</v>
      </c>
      <c r="D57" s="8" t="s">
        <v>143</v>
      </c>
    </row>
    <row r="58" customFormat="false" ht="15" hidden="false" customHeight="false" outlineLevel="0" collapsed="false">
      <c r="A58" s="9" t="s">
        <v>144</v>
      </c>
      <c r="B58" s="10" t="n">
        <f aca="false">IFERROR(IF(ISBLANK(INDEX(RAW_key_statistics!$DC$2:$DC$13,$O$1)),"",INDEX(RAW_key_statistics!$DC$2:$DC$13,$O$1)),"")</f>
        <v>1</v>
      </c>
      <c r="C58" s="32" t="str">
        <f aca="false">IF(NOT(ISNUMBER(B58)),"n/a",IF(B58=1,"PASS","FAIL"))</f>
        <v>PASS</v>
      </c>
      <c r="D58" s="34" t="s">
        <v>145</v>
      </c>
    </row>
    <row r="59" customFormat="false" ht="15" hidden="false" customHeight="false" outlineLevel="0" collapsed="false">
      <c r="A59" s="9" t="s">
        <v>146</v>
      </c>
      <c r="B59" s="10" t="str">
        <f aca="false">IFERROR(IF(ISBLANK(INDEX(RAW_key_statistics!$DD$2:$DD$13,$O$1)),"",INDEX(RAW_key_statistics!$DD$2:$DD$13,$O$1)),"")</f>
        <v/>
      </c>
      <c r="C59" s="32" t="str">
        <f aca="false">IF(NOT(ISNUMBER(B59)),"n/a",IF(B59=1,"PASS","FAIL"))</f>
        <v>n/a</v>
      </c>
      <c r="D59" s="34" t="s">
        <v>147</v>
      </c>
    </row>
    <row r="60" customFormat="false" ht="15" hidden="false" customHeight="false" outlineLevel="0" collapsed="false">
      <c r="A60" s="9" t="s">
        <v>148</v>
      </c>
      <c r="B60" s="10" t="n">
        <f aca="false">IFERROR(IF(ISBLANK(INDEX(RAW_key_statistics!$DE$2:$DE$13,$O$1)),"",INDEX(RAW_key_statistics!$DE$2:$DE$13,$O$1)),"")</f>
        <v>1</v>
      </c>
      <c r="C60" s="32" t="str">
        <f aca="false">IF(NOT(ISNUMBER(B60)),"n/a",IF(B60=1,"PASS","FAIL"))</f>
        <v>PASS</v>
      </c>
      <c r="D60" s="34" t="s">
        <v>149</v>
      </c>
    </row>
    <row r="61" customFormat="false" ht="15" hidden="false" customHeight="false" outlineLevel="0" collapsed="false">
      <c r="A61" s="9" t="s">
        <v>150</v>
      </c>
      <c r="B61" s="10" t="str">
        <f aca="false">IFERROR(IF(ISBLANK(INDEX(RAW_key_statistics!$DF$2:$DF$13,$O$1)),"",INDEX(RAW_key_statistics!$DF$2:$DF$13,$O$1)),"")</f>
        <v/>
      </c>
      <c r="C61" s="32" t="str">
        <f aca="false">IF(NOT(ISNUMBER(B61)),"n/a",IF(B61=1,"PASS","FAIL"))</f>
        <v>n/a</v>
      </c>
      <c r="D61" s="34" t="s">
        <v>151</v>
      </c>
    </row>
    <row r="62" customFormat="false" ht="15" hidden="false" customHeight="false" outlineLevel="0" collapsed="false">
      <c r="A62" s="9" t="s">
        <v>152</v>
      </c>
      <c r="B62" s="10" t="n">
        <f aca="false">IFERROR(IF(ISBLANK(INDEX(RAW_key_statistics!$DG$2:$DG$13,$O$1)),"",INDEX(RAW_key_statistics!$DG$2:$DG$13,$O$1)),"")</f>
        <v>1</v>
      </c>
      <c r="C62" s="32" t="str">
        <f aca="false">IF(NOT(ISNUMBER(B62)),"n/a",IF(B62=1,"PASS","FAIL"))</f>
        <v>PASS</v>
      </c>
      <c r="D62" s="34" t="s">
        <v>153</v>
      </c>
    </row>
    <row r="63" customFormat="false" ht="15" hidden="false" customHeight="false" outlineLevel="0" collapsed="false">
      <c r="A63" s="9" t="s">
        <v>154</v>
      </c>
      <c r="B63" s="10" t="n">
        <f aca="false">IFERROR(IF(ISBLANK(INDEX(RAW_key_statistics!$DH$2:$DH$13,$O$1)),"",INDEX(RAW_key_statistics!$DH$2:$DH$13,$O$1)),"")</f>
        <v>1</v>
      </c>
      <c r="C63" s="32" t="str">
        <f aca="false">IF(NOT(ISNUMBER(B63)),"n/a",IF(B63=1,"PASS","FAIL"))</f>
        <v>PASS</v>
      </c>
      <c r="D63" s="34" t="s">
        <v>155</v>
      </c>
    </row>
    <row r="64" customFormat="false" ht="15" hidden="false" customHeight="false" outlineLevel="0" collapsed="false">
      <c r="A64" s="9" t="s">
        <v>156</v>
      </c>
      <c r="B64" s="10" t="n">
        <f aca="false">IFERROR(IF(ISBLANK(INDEX(RAW_key_statistics!$DI$2:$DI$13,$O$1)),"",INDEX(RAW_key_statistics!$DI$2:$DI$13,$O$1)),"")</f>
        <v>1</v>
      </c>
      <c r="C64" s="32" t="str">
        <f aca="false">IF(NOT(ISNUMBER(B64)),"n/a",IF(B64=1,"PASS","FAIL"))</f>
        <v>PASS</v>
      </c>
      <c r="D64" s="34" t="s">
        <v>157</v>
      </c>
    </row>
    <row r="65" customFormat="false" ht="15" hidden="false" customHeight="false" outlineLevel="0" collapsed="false">
      <c r="A65" s="9" t="s">
        <v>158</v>
      </c>
      <c r="B65" s="10" t="n">
        <f aca="false">IFERROR(IF(ISBLANK(INDEX(RAW_key_statistics!$DJ$2:$DJ$13,$O$1)),"",INDEX(RAW_key_statistics!$DJ$2:$DJ$13,$O$1)),"")</f>
        <v>1</v>
      </c>
      <c r="C65" s="32" t="str">
        <f aca="false">IF(NOT(ISNUMBER(B65)),"n/a",IF(B65=1,"PASS","FAIL"))</f>
        <v>PASS</v>
      </c>
      <c r="D65" s="34" t="s">
        <v>159</v>
      </c>
    </row>
    <row r="66" customFormat="false" ht="15" hidden="false" customHeight="false" outlineLevel="0" collapsed="false">
      <c r="A66" s="9" t="s">
        <v>160</v>
      </c>
      <c r="B66" s="10" t="n">
        <f aca="false">IFERROR(IF(ISBLANK(INDEX(RAW_key_statistics!$DK$2:$DK$13,$O$1)),"",INDEX(RAW_key_statistics!$DK$2:$DK$13,$O$1)),"")</f>
        <v>1</v>
      </c>
      <c r="C66" s="32" t="str">
        <f aca="false">IF(NOT(ISNUMBER(B66)),"n/a",IF(B66=1,"PASS","FAIL"))</f>
        <v>PASS</v>
      </c>
      <c r="D66" s="34" t="s">
        <v>161</v>
      </c>
    </row>
    <row r="67" customFormat="false" ht="15" hidden="false" customHeight="false" outlineLevel="0" collapsed="false">
      <c r="A67" s="9" t="s">
        <v>162</v>
      </c>
      <c r="B67" s="10" t="n">
        <f aca="false">IFERROR(IF(ISBLANK(INDEX(RAW_key_statistics!$BB$2:$BB$13,$O$1)),"",INDEX(RAW_key_statistics!$BB$2:$BB$13,$O$1)),"")</f>
        <v>7</v>
      </c>
      <c r="C67" s="15" t="n">
        <f aca="false">SUM(B58:B66)</f>
        <v>7</v>
      </c>
      <c r="D67" s="14" t="s">
        <v>163</v>
      </c>
    </row>
    <row r="69" customFormat="false" ht="15" hidden="false" customHeight="false" outlineLevel="0" collapsed="false">
      <c r="A69" s="3" t="s">
        <v>164</v>
      </c>
      <c r="B69" s="3"/>
      <c r="C69" s="3"/>
      <c r="D69" s="3"/>
      <c r="E69" s="3"/>
      <c r="F69" s="3"/>
      <c r="G69" s="3"/>
      <c r="H69" s="3"/>
    </row>
    <row r="70" customFormat="false" ht="30" hidden="false" customHeight="true" outlineLevel="0" collapsed="false">
      <c r="A70" s="9" t="s">
        <v>165</v>
      </c>
      <c r="B70" s="35" t="str">
        <f aca="false">IFERROR(IF(ISBLANK(INDEX(RAW_scores!$AB$2:$AB$13,$O$2)),"",INDEX(RAW_scores!$AB$2:$AB$13,$O$2)),"")</f>
        <v>MOS 29% attractive but short of buy threshold 30%</v>
      </c>
    </row>
    <row r="71" customFormat="false" ht="30" hidden="false" customHeight="true" outlineLevel="0" collapsed="false">
      <c r="A71" s="9" t="s">
        <v>166</v>
      </c>
      <c r="B71" s="35" t="str">
        <f aca="false">IFERROR(IF(ISBLANK(INDEX(RAW_scores!$AC$2:$AC$13,$O$2)),"",INDEX(RAW_scores!$AC$2:$AC$13,$O$2)),"")</f>
        <v/>
      </c>
    </row>
    <row r="73" customFormat="false" ht="15" hidden="false" customHeight="false" outlineLevel="0" collapsed="false">
      <c r="A73" s="3" t="s">
        <v>167</v>
      </c>
      <c r="B73" s="3"/>
      <c r="C73" s="3"/>
      <c r="D73" s="3"/>
      <c r="E73" s="3"/>
      <c r="F73" s="3"/>
      <c r="G73" s="3"/>
      <c r="H73" s="3"/>
    </row>
    <row r="74" customFormat="false" ht="15" hidden="false" customHeight="false" outlineLevel="0" collapsed="false">
      <c r="A74" s="14" t="s">
        <v>168</v>
      </c>
    </row>
    <row r="75" customFormat="false" ht="15" hidden="false" customHeight="false" outlineLevel="0" collapsed="false">
      <c r="A75" s="36" t="s">
        <v>169</v>
      </c>
      <c r="B75" s="37" t="str">
        <f aca="false">IFERROR(INDEX(RAW_history_annual!$C$2:$C$51,MATCH($B$2&amp;"|R4",RAW_history_annual!$AG$2:$AG$51,0)),"")</f>
        <v>2022-12-31</v>
      </c>
      <c r="C75" s="37" t="str">
        <f aca="false">IFERROR(INDEX(RAW_history_annual!$C$2:$C$51,MATCH($B$2&amp;"|R3",RAW_history_annual!$AG$2:$AG$51,0)),"")</f>
        <v>2023-12-31</v>
      </c>
      <c r="D75" s="37" t="str">
        <f aca="false">IFERROR(INDEX(RAW_history_annual!$C$2:$C$51,MATCH($B$2&amp;"|R2",RAW_history_annual!$AG$2:$AG$51,0)),"")</f>
        <v>2024-12-31</v>
      </c>
      <c r="E75" s="37" t="str">
        <f aca="false">IFERROR(INDEX(RAW_history_annual!$C$2:$C$51,MATCH($B$2&amp;"|R1",RAW_history_annual!$AG$2:$AG$51,0)),"")</f>
        <v>2025-12-31</v>
      </c>
    </row>
    <row r="76" customFormat="false" ht="15" hidden="false" customHeight="false" outlineLevel="0" collapsed="false">
      <c r="A76" s="9" t="s">
        <v>170</v>
      </c>
      <c r="B76" s="20" t="n">
        <f aca="false">IFERROR(INDEX(RAW_history_annual!$D$2:$D$51,MATCH($B$2&amp;"|"&amp;B$75,RAW_history_annual!$AF$2:$AF$51,0))/1000000000,"")</f>
        <v>21828.591</v>
      </c>
      <c r="C76" s="20" t="n">
        <f aca="false">IFERROR(INDEX(RAW_history_annual!$D$2:$D$51,MATCH($B$2&amp;"|"&amp;C$75,RAW_history_annual!$AF$2:$AF$51,0))/1000000000,"")</f>
        <v>20745.473</v>
      </c>
      <c r="D76" s="20" t="n">
        <f aca="false">IFERROR(INDEX(RAW_history_annual!$D$2:$D$51,MATCH($B$2&amp;"|"&amp;D$75,RAW_history_annual!$AF$2:$AF$51,0))/1000000000,"")</f>
        <v>21815.035</v>
      </c>
      <c r="E76" s="20" t="n">
        <f aca="false">IFERROR(INDEX(RAW_history_annual!$D$2:$D$51,MATCH($B$2&amp;"|"&amp;E$75,RAW_history_annual!$AF$2:$AF$51,0))/1000000000,"")</f>
        <v>28654.648</v>
      </c>
    </row>
    <row r="77" customFormat="false" ht="15" hidden="false" customHeight="false" outlineLevel="0" collapsed="false">
      <c r="A77" s="9" t="s">
        <v>171</v>
      </c>
      <c r="B77" s="20" t="n">
        <f aca="false">IFERROR(INDEX(RAW_history_annual!$F$2:$F$51,MATCH($B$2&amp;"|"&amp;B$75,RAW_history_annual!$AF$2:$AF$51,0))/1000000000,"")</f>
        <v>3822.117</v>
      </c>
      <c r="C77" s="20" t="n">
        <f aca="false">IFERROR(INDEX(RAW_history_annual!$F$2:$F$51,MATCH($B$2&amp;"|"&amp;C$75,RAW_history_annual!$AF$2:$AF$51,0))/1000000000,"")</f>
        <v>2770.98</v>
      </c>
      <c r="D77" s="20" t="n">
        <f aca="false">IFERROR(INDEX(RAW_history_annual!$F$2:$F$51,MATCH($B$2&amp;"|"&amp;D$75,RAW_history_annual!$AF$2:$AF$51,0))/1000000000,"")</f>
        <v>3340.621</v>
      </c>
      <c r="E77" s="20" t="n">
        <f aca="false">IFERROR(INDEX(RAW_history_annual!$F$2:$F$51,MATCH($B$2&amp;"|"&amp;E$75,RAW_history_annual!$AF$2:$AF$51,0))/1000000000,"")</f>
        <v>4631.429</v>
      </c>
    </row>
    <row r="78" customFormat="false" ht="15" hidden="false" customHeight="false" outlineLevel="0" collapsed="false">
      <c r="A78" s="9" t="s">
        <v>172</v>
      </c>
      <c r="B78" s="20" t="n">
        <f aca="false">IFERROR(INDEX(RAW_history_annual!$H$2:$H$51,MATCH($B$2&amp;"|"&amp;B$75,RAW_history_annual!$AF$2:$AF$51,0))/1000000000,"")</f>
        <v>2777.558</v>
      </c>
      <c r="C78" s="20" t="n">
        <f aca="false">IFERROR(INDEX(RAW_history_annual!$H$2:$H$51,MATCH($B$2&amp;"|"&amp;C$75,RAW_history_annual!$AF$2:$AF$51,0))/1000000000,"")</f>
        <v>1753.833</v>
      </c>
      <c r="D78" s="20" t="n">
        <f aca="false">IFERROR(INDEX(RAW_history_annual!$H$2:$H$51,MATCH($B$2&amp;"|"&amp;D$75,RAW_history_annual!$AF$2:$AF$51,0))/1000000000,"")</f>
        <v>1961.859</v>
      </c>
      <c r="E78" s="20" t="n">
        <f aca="false">IFERROR(INDEX(RAW_history_annual!$H$2:$H$51,MATCH($B$2&amp;"|"&amp;E$75,RAW_history_annual!$AF$2:$AF$51,0))/1000000000,"")</f>
        <v>2364.315</v>
      </c>
    </row>
    <row r="79" customFormat="false" ht="15" hidden="false" customHeight="false" outlineLevel="0" collapsed="false">
      <c r="A79" s="9" t="s">
        <v>173</v>
      </c>
      <c r="B79" s="20" t="n">
        <f aca="false">IFERROR(INDEX(RAW_history_annual!$J$2:$J$51,MATCH($B$2&amp;"|"&amp;B$75,RAW_history_annual!$AF$2:$AF$51,0))/1000000000,"")</f>
        <v>1726.607</v>
      </c>
      <c r="C79" s="20" t="n">
        <f aca="false">IFERROR(INDEX(RAW_history_annual!$J$2:$J$51,MATCH($B$2&amp;"|"&amp;C$75,RAW_history_annual!$AF$2:$AF$51,0))/1000000000,"")</f>
        <v>1055.897</v>
      </c>
      <c r="D79" s="20" t="n">
        <f aca="false">IFERROR(INDEX(RAW_history_annual!$J$2:$J$51,MATCH($B$2&amp;"|"&amp;D$75,RAW_history_annual!$AF$2:$AF$51,0))/1000000000,"")</f>
        <v>1147.547</v>
      </c>
      <c r="E79" s="20" t="n">
        <f aca="false">IFERROR(INDEX(RAW_history_annual!$J$2:$J$51,MATCH($B$2&amp;"|"&amp;E$75,RAW_history_annual!$AF$2:$AF$51,0))/1000000000,"")</f>
        <v>1471.714</v>
      </c>
    </row>
    <row r="80" customFormat="false" ht="15" hidden="false" customHeight="false" outlineLevel="0" collapsed="false">
      <c r="A80" s="9" t="s">
        <v>174</v>
      </c>
      <c r="B80" s="20" t="n">
        <f aca="false">IFERROR(INDEX(RAW_history_annual!$AC$2:$AC$51,MATCH($B$2&amp;"|"&amp;B$75,RAW_history_annual!$AF$2:$AF$51,0))/1000000000,"")</f>
        <v>0</v>
      </c>
      <c r="C80" s="20" t="n">
        <f aca="false">IFERROR(INDEX(RAW_history_annual!$AC$2:$AC$51,MATCH($B$2&amp;"|"&amp;C$75,RAW_history_annual!$AF$2:$AF$51,0))/1000000000,"")</f>
        <v>0</v>
      </c>
      <c r="D80" s="20" t="n">
        <f aca="false">IFERROR(INDEX(RAW_history_annual!$AC$2:$AC$51,MATCH($B$2&amp;"|"&amp;D$75,RAW_history_annual!$AF$2:$AF$51,0))/1000000000,"")</f>
        <v>0</v>
      </c>
      <c r="E80" s="20" t="n">
        <f aca="false">IFERROR(INDEX(RAW_history_annual!$AC$2:$AC$51,MATCH($B$2&amp;"|"&amp;E$75,RAW_history_annual!$AF$2:$AF$51,0))/1000000000,"")</f>
        <v>0</v>
      </c>
    </row>
    <row r="81" customFormat="false" ht="15" hidden="false" customHeight="false" outlineLevel="0" collapsed="false">
      <c r="A81" s="9" t="s">
        <v>175</v>
      </c>
      <c r="B81" s="20" t="n">
        <f aca="false">IFERROR(INDEX(RAW_history_annual!$AE$2:$AE$51,MATCH($B$2&amp;"|"&amp;B$75,RAW_history_annual!$AF$2:$AF$51,0))/1000000000,"")</f>
        <v>455.953</v>
      </c>
      <c r="C81" s="20" t="n">
        <f aca="false">IFERROR(INDEX(RAW_history_annual!$AE$2:$AE$51,MATCH($B$2&amp;"|"&amp;C$75,RAW_history_annual!$AF$2:$AF$51,0))/1000000000,"")</f>
        <v>1302.401</v>
      </c>
      <c r="D81" s="20" t="n">
        <f aca="false">IFERROR(INDEX(RAW_history_annual!$AE$2:$AE$51,MATCH($B$2&amp;"|"&amp;D$75,RAW_history_annual!$AF$2:$AF$51,0))/1000000000,"")</f>
        <v>2438.592</v>
      </c>
      <c r="E81" s="20" t="n">
        <f aca="false">IFERROR(INDEX(RAW_history_annual!$AE$2:$AE$51,MATCH($B$2&amp;"|"&amp;E$75,RAW_history_annual!$AF$2:$AF$51,0))/1000000000,"")</f>
        <v>3428.61</v>
      </c>
    </row>
    <row r="82" customFormat="false" ht="15" hidden="false" customHeight="false" outlineLevel="0" collapsed="false">
      <c r="A82" s="9" t="s">
        <v>176</v>
      </c>
      <c r="B82" s="20" t="n">
        <f aca="false">IFERROR(INDEX(RAW_history_annual!$O$2:$O$51,MATCH($B$2&amp;"|"&amp;B$75,RAW_history_annual!$AF$2:$AF$51,0))/1000000000,"")</f>
        <v>29249.34</v>
      </c>
      <c r="C82" s="20" t="n">
        <f aca="false">IFERROR(INDEX(RAW_history_annual!$O$2:$O$51,MATCH($B$2&amp;"|"&amp;C$75,RAW_history_annual!$AF$2:$AF$51,0))/1000000000,"")</f>
        <v>28846.243</v>
      </c>
      <c r="D82" s="20" t="n">
        <f aca="false">IFERROR(INDEX(RAW_history_annual!$O$2:$O$51,MATCH($B$2&amp;"|"&amp;D$75,RAW_history_annual!$AF$2:$AF$51,0))/1000000000,"")</f>
        <v>28793.225</v>
      </c>
      <c r="E82" s="20" t="n">
        <f aca="false">IFERROR(INDEX(RAW_history_annual!$O$2:$O$51,MATCH($B$2&amp;"|"&amp;E$75,RAW_history_annual!$AF$2:$AF$51,0))/1000000000,"")</f>
        <v>27047.104</v>
      </c>
    </row>
    <row r="83" customFormat="false" ht="15" hidden="false" customHeight="false" outlineLevel="0" collapsed="false">
      <c r="A83" s="9" t="s">
        <v>177</v>
      </c>
      <c r="B83" s="20" t="n">
        <f aca="false">IFERROR(INDEX(RAW_history_annual!$Q$2:$Q$51,MATCH($B$2&amp;"|"&amp;B$75,RAW_history_annual!$AF$2:$AF$51,0))/1000000000,"")</f>
        <v>21684.037</v>
      </c>
      <c r="C83" s="20" t="n">
        <f aca="false">IFERROR(INDEX(RAW_history_annual!$Q$2:$Q$51,MATCH($B$2&amp;"|"&amp;C$75,RAW_history_annual!$AF$2:$AF$51,0))/1000000000,"")</f>
        <v>22016.045</v>
      </c>
      <c r="D83" s="20" t="n">
        <f aca="false">IFERROR(INDEX(RAW_history_annual!$Q$2:$Q$51,MATCH($B$2&amp;"|"&amp;D$75,RAW_history_annual!$AF$2:$AF$51,0))/1000000000,"")</f>
        <v>22641.918</v>
      </c>
      <c r="E83" s="20" t="n">
        <f aca="false">IFERROR(INDEX(RAW_history_annual!$Q$2:$Q$51,MATCH($B$2&amp;"|"&amp;E$75,RAW_history_annual!$AF$2:$AF$51,0))/1000000000,"")</f>
        <v>23556.137</v>
      </c>
    </row>
  </sheetData>
  <conditionalFormatting sqref="B26:B27">
    <cfRule type="cellIs" priority="2" operator="equal" aboveAverage="0" equalAverage="0" bottom="0" percent="0" rank="0" text="" dxfId="0">
      <formula>"BUY"</formula>
    </cfRule>
    <cfRule type="cellIs" priority="3" operator="equal" aboveAverage="0" equalAverage="0" bottom="0" percent="0" rank="0" text="" dxfId="1">
      <formula>"DEEP VALUE"</formula>
    </cfRule>
    <cfRule type="cellIs" priority="4" operator="equal" aboveAverage="0" equalAverage="0" bottom="0" percent="0" rank="0" text="" dxfId="2">
      <formula>"WATCH"</formula>
    </cfRule>
    <cfRule type="cellIs" priority="5" operator="equal" aboveAverage="0" equalAverage="0" bottom="0" percent="0" rank="0" text="" dxfId="3">
      <formula>"SKIP"</formula>
    </cfRule>
  </conditionalFormatting>
  <conditionalFormatting sqref="C58:C66">
    <cfRule type="cellIs" priority="6" operator="equal" aboveAverage="0" equalAverage="0" bottom="0" percent="0" rank="0" text="" dxfId="0">
      <formula>"PASS"</formula>
    </cfRule>
    <cfRule type="cellIs" priority="7" operator="equal" aboveAverage="0" equalAverage="0" bottom="0" percent="0" rank="0" text="" dxfId="3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15" hidden="false" customHeight="false" outlineLevel="0" collapsed="false">
      <c r="A3" s="3" t="s">
        <v>180</v>
      </c>
      <c r="B3" s="3"/>
      <c r="C3" s="3"/>
      <c r="D3" s="3"/>
      <c r="E3" s="3"/>
      <c r="F3" s="3"/>
    </row>
    <row r="4" customFormat="false" ht="15" hidden="false" customHeight="false" outlineLevel="0" collapsed="false">
      <c r="A4" s="9" t="s">
        <v>27</v>
      </c>
      <c r="B4" s="30" t="s">
        <v>44</v>
      </c>
      <c r="C4" s="14" t="s">
        <v>181</v>
      </c>
    </row>
    <row r="5" customFormat="false" ht="15" hidden="false" customHeight="false" outlineLevel="0" collapsed="false">
      <c r="A5" s="9" t="s">
        <v>182</v>
      </c>
      <c r="B5" s="18" t="n">
        <f aca="false">IFERROR(IF(ISBLANK(INDEX(RAW_idx_stocks!$F$2:$F$13,MATCH($B$4,RAW_idx_stocks!$A$2:$A$13,0))),"",INDEX(RAW_idx_stocks!$F$2:$F$13,MATCH($B$4,RAW_idx_stocks!$A$2:$A$13,0))),"")</f>
        <v>7325</v>
      </c>
      <c r="C5" s="14" t="s">
        <v>183</v>
      </c>
    </row>
    <row r="6" customFormat="false" ht="15" hidden="false" customHeight="false" outlineLevel="0" collapsed="false">
      <c r="A6" s="9" t="s">
        <v>184</v>
      </c>
      <c r="B6" s="38" t="n">
        <f aca="false">IFERROR(IF(ISBLANK(INDEX(RAW_key_statistics!$CD$2:$CD$13,MATCH($B$4,RAW_key_statistics!$A$2:$A$13,0))),"",INDEX(RAW_key_statistics!$CD$2:$CD$13,MATCH($B$4,RAW_key_statistics!$A$2:$A$13,0))),"")</f>
        <v>2500469000000</v>
      </c>
      <c r="C6" s="14" t="s">
        <v>185</v>
      </c>
    </row>
    <row r="7" customFormat="false" ht="15" hidden="false" customHeight="false" outlineLevel="0" collapsed="false">
      <c r="A7" s="9" t="s">
        <v>186</v>
      </c>
      <c r="B7" s="39" t="n">
        <f aca="false">IFERROR(MAX(-0.1,MIN(0.15,IFERROR(IF(ISBLANK(INDEX(RAW_key_statistics!$CS$2:$CS$13,MATCH($B$4,RAW_key_statistics!$A$2:$A$13,0))),"",INDEX(RAW_key_statistics!$CS$2:$CS$13,MATCH($B$4,RAW_key_statistics!$A$2:$A$13,0))),""))),0.05)</f>
        <v>0.0949386633877265</v>
      </c>
      <c r="C7" s="14" t="s">
        <v>187</v>
      </c>
    </row>
    <row r="8" customFormat="false" ht="15" hidden="false" customHeight="false" outlineLevel="0" collapsed="false">
      <c r="A8" s="9" t="s">
        <v>188</v>
      </c>
      <c r="B8" s="39" t="n">
        <f aca="false">$B$7+($B$12-$B$7)*1/5</f>
        <v>0.0819509307101812</v>
      </c>
      <c r="C8" s="14" t="s">
        <v>189</v>
      </c>
    </row>
    <row r="9" customFormat="false" ht="15" hidden="false" customHeight="false" outlineLevel="0" collapsed="false">
      <c r="A9" s="9" t="s">
        <v>190</v>
      </c>
      <c r="B9" s="39" t="n">
        <f aca="false">$B$7+($B$12-$B$7)*2/5</f>
        <v>0.0689631980326359</v>
      </c>
      <c r="C9" s="14" t="s">
        <v>191</v>
      </c>
    </row>
    <row r="10" customFormat="false" ht="15" hidden="false" customHeight="false" outlineLevel="0" collapsed="false">
      <c r="A10" s="9" t="s">
        <v>192</v>
      </c>
      <c r="B10" s="39" t="n">
        <f aca="false">$B$7+($B$12-$B$7)*3/5</f>
        <v>0.0559754653550906</v>
      </c>
      <c r="C10" s="14" t="s">
        <v>193</v>
      </c>
    </row>
    <row r="11" customFormat="false" ht="15" hidden="false" customHeight="false" outlineLevel="0" collapsed="false">
      <c r="A11" s="9" t="s">
        <v>194</v>
      </c>
      <c r="B11" s="39" t="n">
        <f aca="false">$B$7+($B$12-$B$7)*4/5</f>
        <v>0.0429877326775453</v>
      </c>
      <c r="C11" s="14" t="s">
        <v>195</v>
      </c>
    </row>
    <row r="12" customFormat="false" ht="15" hidden="false" customHeight="false" outlineLevel="0" collapsed="false">
      <c r="A12" s="9" t="s">
        <v>196</v>
      </c>
      <c r="B12" s="39" t="n">
        <f aca="false">Setup!$B$6</f>
        <v>0.03</v>
      </c>
      <c r="C12" s="14" t="s">
        <v>197</v>
      </c>
    </row>
    <row r="13" customFormat="false" ht="15" hidden="false" customHeight="false" outlineLevel="0" collapsed="false">
      <c r="A13" s="9" t="s">
        <v>198</v>
      </c>
      <c r="B13" s="39" t="n">
        <f aca="false">Setup!$B$5</f>
        <v>0.12</v>
      </c>
      <c r="C13" s="14" t="s">
        <v>199</v>
      </c>
    </row>
    <row r="14" customFormat="false" ht="15" hidden="false" customHeight="false" outlineLevel="0" collapsed="false">
      <c r="A14" s="9" t="s">
        <v>200</v>
      </c>
      <c r="B14" s="38" t="n">
        <f aca="false">IFERROR(IF(ISBLANK(INDEX(RAW_key_statistics!$BX$2:$BX$13,MATCH($B$4,RAW_key_statistics!$A$2:$A$13,0))),"",INDEX(RAW_key_statistics!$BX$2:$BX$13,MATCH($B$4,RAW_key_statistics!$A$2:$A$13,0))),"")</f>
        <v>-5149236000000</v>
      </c>
      <c r="C14" s="14" t="s">
        <v>201</v>
      </c>
    </row>
    <row r="15" customFormat="false" ht="15" hidden="false" customHeight="false" outlineLevel="0" collapsed="false">
      <c r="A15" s="9" t="s">
        <v>93</v>
      </c>
      <c r="B15" s="38" t="n">
        <f aca="false">IFERROR(IF(ISBLANK(INDEX(RAW_key_statistics!$BU$2:$BU$13,MATCH($B$4,RAW_key_statistics!$A$2:$A$13,0))),"",INDEX(RAW_key_statistics!$BU$2:$BU$13,MATCH($B$4,RAW_key_statistics!$A$2:$A$13,0))),"")</f>
        <v>1924688333</v>
      </c>
      <c r="C15" s="14" t="s">
        <v>202</v>
      </c>
    </row>
    <row r="18" customFormat="false" ht="15" hidden="false" customHeight="false" outlineLevel="0" collapsed="false">
      <c r="A18" s="3" t="s">
        <v>203</v>
      </c>
      <c r="B18" s="3"/>
      <c r="C18" s="3"/>
      <c r="D18" s="3"/>
      <c r="E18" s="3"/>
      <c r="F18" s="3"/>
    </row>
    <row r="19" customFormat="false" ht="15" hidden="false" customHeight="false" outlineLevel="0" collapsed="false">
      <c r="A19" s="8" t="s">
        <v>204</v>
      </c>
      <c r="B19" s="8" t="s">
        <v>205</v>
      </c>
      <c r="C19" s="8" t="s">
        <v>206</v>
      </c>
      <c r="D19" s="8" t="s">
        <v>207</v>
      </c>
      <c r="E19" s="8" t="s">
        <v>208</v>
      </c>
    </row>
    <row r="20" customFormat="false" ht="15" hidden="false" customHeight="false" outlineLevel="0" collapsed="false">
      <c r="A20" s="15" t="n">
        <v>1</v>
      </c>
      <c r="B20" s="11" t="n">
        <f aca="false">$B$7</f>
        <v>0.0949386633877265</v>
      </c>
      <c r="C20" s="40" t="n">
        <f aca="false">$B$6*(1+B20)</f>
        <v>2737860184702.45</v>
      </c>
      <c r="D20" s="41" t="n">
        <f aca="false">1/(1+$B$13)^A20</f>
        <v>0.892857142857143</v>
      </c>
      <c r="E20" s="40" t="n">
        <f aca="false">C20*D20</f>
        <v>2444518022055.75</v>
      </c>
    </row>
    <row r="21" customFormat="false" ht="15" hidden="false" customHeight="false" outlineLevel="0" collapsed="false">
      <c r="A21" s="15" t="n">
        <v>2</v>
      </c>
      <c r="B21" s="11" t="n">
        <f aca="false">$B$8</f>
        <v>0.0819509307101812</v>
      </c>
      <c r="C21" s="40" t="n">
        <f aca="false">C20*(1+B21)</f>
        <v>2962230374993.16</v>
      </c>
      <c r="D21" s="41" t="n">
        <f aca="false">1/(1+$B$13)^A21</f>
        <v>0.79719387755102</v>
      </c>
      <c r="E21" s="40" t="n">
        <f aca="false">C21*D21</f>
        <v>2361471918840.21</v>
      </c>
    </row>
    <row r="22" customFormat="false" ht="15" hidden="false" customHeight="false" outlineLevel="0" collapsed="false">
      <c r="A22" s="15" t="n">
        <v>3</v>
      </c>
      <c r="B22" s="11" t="n">
        <f aca="false">$B$9</f>
        <v>0.0689631980326359</v>
      </c>
      <c r="C22" s="40" t="n">
        <f aca="false">C21*(1+B22)</f>
        <v>3166515254962.1</v>
      </c>
      <c r="D22" s="41" t="n">
        <f aca="false">1/(1+$B$13)^A22</f>
        <v>0.711780247813411</v>
      </c>
      <c r="E22" s="40" t="n">
        <f aca="false">C22*D22</f>
        <v>2253863012881.87</v>
      </c>
    </row>
    <row r="23" customFormat="false" ht="15" hidden="false" customHeight="false" outlineLevel="0" collapsed="false">
      <c r="A23" s="15" t="n">
        <v>4</v>
      </c>
      <c r="B23" s="11" t="n">
        <f aca="false">$B$10</f>
        <v>0.0559754653550906</v>
      </c>
      <c r="C23" s="40" t="n">
        <f aca="false">C22*(1+B23)</f>
        <v>3343762419912.6</v>
      </c>
      <c r="D23" s="41" t="n">
        <f aca="false">1/(1+$B$13)^A23</f>
        <v>0.635518078404831</v>
      </c>
      <c r="E23" s="40" t="n">
        <f aca="false">C23*D23</f>
        <v>2125021467745.14</v>
      </c>
    </row>
    <row r="24" customFormat="false" ht="15" hidden="false" customHeight="false" outlineLevel="0" collapsed="false">
      <c r="A24" s="15" t="n">
        <v>5</v>
      </c>
      <c r="B24" s="11" t="n">
        <f aca="false">$B$11</f>
        <v>0.0429877326775453</v>
      </c>
      <c r="C24" s="40" t="n">
        <f aca="false">C23*(1+B24)</f>
        <v>3487503184957.02</v>
      </c>
      <c r="D24" s="41" t="n">
        <f aca="false">1/(1+$B$13)^A24</f>
        <v>0.567426855718599</v>
      </c>
      <c r="E24" s="40" t="n">
        <f aca="false">C24*D24</f>
        <v>1978902966548.76</v>
      </c>
    </row>
    <row r="26" customFormat="false" ht="15" hidden="false" customHeight="false" outlineLevel="0" collapsed="false">
      <c r="A26" s="9" t="s">
        <v>209</v>
      </c>
      <c r="C26" s="40" t="n">
        <f aca="false">IF($B$13&lt;=$B$12,NA(),C24*(1+$B$12)/($B$13-$B$12))</f>
        <v>39912536450063.7</v>
      </c>
      <c r="D26" s="41" t="n">
        <f aca="false">D24</f>
        <v>0.567426855718599</v>
      </c>
      <c r="E26" s="40" t="n">
        <f aca="false">C26*D26</f>
        <v>22647445061613.6</v>
      </c>
      <c r="F26" s="14" t="s">
        <v>210</v>
      </c>
    </row>
    <row r="28" customFormat="false" ht="15" hidden="false" customHeight="false" outlineLevel="0" collapsed="false">
      <c r="A28" s="3" t="s">
        <v>211</v>
      </c>
      <c r="B28" s="3"/>
      <c r="C28" s="3"/>
      <c r="D28" s="3"/>
      <c r="E28" s="3"/>
      <c r="F28" s="3"/>
    </row>
    <row r="29" customFormat="false" ht="15" hidden="false" customHeight="false" outlineLevel="0" collapsed="false">
      <c r="A29" s="9" t="s">
        <v>212</v>
      </c>
      <c r="B29" s="40" t="n">
        <f aca="false">SUM(E20:E24)+E26</f>
        <v>33811222449685.4</v>
      </c>
    </row>
    <row r="30" customFormat="false" ht="15" hidden="false" customHeight="false" outlineLevel="0" collapsed="false">
      <c r="A30" s="9" t="s">
        <v>213</v>
      </c>
      <c r="B30" s="40" t="n">
        <f aca="false">$B$14</f>
        <v>-5149236000000</v>
      </c>
    </row>
    <row r="31" customFormat="false" ht="15" hidden="false" customHeight="false" outlineLevel="0" collapsed="false">
      <c r="A31" s="9" t="s">
        <v>214</v>
      </c>
      <c r="B31" s="40" t="n">
        <f aca="false">B29-B30</f>
        <v>38960458449685.4</v>
      </c>
    </row>
    <row r="32" customFormat="false" ht="15" hidden="false" customHeight="false" outlineLevel="0" collapsed="false">
      <c r="A32" s="9" t="s">
        <v>93</v>
      </c>
      <c r="B32" s="40" t="n">
        <f aca="false">$B$15</f>
        <v>1924688333</v>
      </c>
    </row>
    <row r="33" customFormat="false" ht="15" hidden="false" customHeight="false" outlineLevel="0" collapsed="false">
      <c r="A33" s="9" t="s">
        <v>215</v>
      </c>
      <c r="B33" s="33" t="n">
        <f aca="false">IFERROR(IF(B32&gt;0,B31/B32,""),"")</f>
        <v>20242.4765514934</v>
      </c>
    </row>
    <row r="34" customFormat="false" ht="15" hidden="false" customHeight="false" outlineLevel="0" collapsed="false">
      <c r="A34" s="9" t="s">
        <v>182</v>
      </c>
      <c r="B34" s="33" t="n">
        <f aca="false">$B$5</f>
        <v>7325</v>
      </c>
    </row>
    <row r="35" customFormat="false" ht="15" hidden="false" customHeight="false" outlineLevel="0" collapsed="false">
      <c r="A35" s="9" t="s">
        <v>216</v>
      </c>
      <c r="B35" s="11" t="n">
        <f aca="false">IF(AND(ISNUMBER(B33),B33&gt;0,ISNUMBER(B34)),1-B34/B33,"")</f>
        <v>0.638137162645763</v>
      </c>
    </row>
    <row r="36" customFormat="false" ht="15" hidden="false" customHeight="false" outlineLevel="0" collapsed="false">
      <c r="A36" s="9" t="s">
        <v>217</v>
      </c>
      <c r="B36" s="11" t="n">
        <f aca="false">IF(AND(ISNUMBER(B33),ISNUMBER(B34),B34&gt;0),B33/B34-1,"")</f>
        <v>1.76347802750763</v>
      </c>
    </row>
    <row r="37" customFormat="false" ht="15" hidden="false" customHeight="false" outlineLevel="0" collapsed="false">
      <c r="A37" s="9" t="s">
        <v>109</v>
      </c>
      <c r="B37" s="32" t="str">
        <f aca="false">IF(NOT(ISNUMBER(B35)),"n/a",IF(B35&gt;=Setup!$B$9,"BUY",IF(B35&gt;=Setup!$B$10,"WATCH","SKIP")))</f>
        <v>BUY</v>
      </c>
      <c r="C37" s="14" t="s">
        <v>218</v>
      </c>
    </row>
  </sheetData>
  <conditionalFormatting sqref="B37">
    <cfRule type="cellIs" priority="2" operator="equal" aboveAverage="0" equalAverage="0" bottom="0" percent="0" rank="0" text="" dxfId="0">
      <formula>"BUY"</formula>
    </cfRule>
    <cfRule type="cellIs" priority="3" operator="equal" aboveAverage="0" equalAverage="0" bottom="0" percent="0" rank="0" text="" dxfId="1">
      <formula>"DEEP VALUE"</formula>
    </cfRule>
    <cfRule type="cellIs" priority="4" operator="equal" aboveAverage="0" equalAverage="0" bottom="0" percent="0" rank="0" text="" dxfId="2">
      <formula>"WATCH"</formula>
    </cfRule>
    <cfRule type="cellIs" priority="5" operator="equal" aboveAverage="0" equalAverage="0" bottom="0" percent="0" rank="0" text="" dxfId="3">
      <formula>"SKIP"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6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3" customFormat="false" ht="15" hidden="false" customHeight="false" outlineLevel="0" collapsed="false">
      <c r="A3" s="14" t="s">
        <v>221</v>
      </c>
    </row>
    <row r="5" customFormat="false" ht="15" hidden="false" customHeight="false" outlineLevel="0" collapsed="false">
      <c r="A5" s="3" t="s">
        <v>222</v>
      </c>
      <c r="B5" s="3"/>
      <c r="C5" s="3"/>
      <c r="D5" s="3"/>
      <c r="E5" s="3"/>
      <c r="F5" s="3"/>
      <c r="G5" s="3"/>
    </row>
    <row r="6" customFormat="false" ht="15" hidden="false" customHeight="false" outlineLevel="0" collapsed="false">
      <c r="A6" s="42" t="s">
        <v>223</v>
      </c>
      <c r="B6" s="43" t="n">
        <f aca="false">Scenario!$B$12-0.02</f>
        <v>0.01</v>
      </c>
      <c r="C6" s="43" t="n">
        <f aca="false">Scenario!$B$12-0.01</f>
        <v>0.02</v>
      </c>
      <c r="D6" s="43" t="n">
        <f aca="false">Scenario!$B$12+0</f>
        <v>0.03</v>
      </c>
      <c r="E6" s="43" t="n">
        <f aca="false">Scenario!$B$12+0.01</f>
        <v>0.04</v>
      </c>
      <c r="F6" s="43" t="n">
        <f aca="false">Scenario!$B$12+0.02</f>
        <v>0.05</v>
      </c>
    </row>
    <row r="7" customFormat="false" ht="15" hidden="false" customHeight="false" outlineLevel="0" collapsed="false">
      <c r="A7" s="43" t="n">
        <f aca="false">Scenario!$B$13-0.03</f>
        <v>0.09</v>
      </c>
      <c r="B7" s="33" t="n">
        <f aca="false">IF($A7&lt;=B$6,"n/m",IFERROR(IF(Scenario!$B$15&gt;0,((Scenario!$C$20/(1+$A7)^1+Scenario!$C$21/(1+$A7)^2+Scenario!$C$22/(1+$A7)^3+Scenario!$C$23/(1+$A7)^4+Scenario!$C$24/(1+$A7)^5+(Scenario!$C$24*(1+B$6)/($A7-B$6))/(1+$A7)^5)-Scenario!$B$14)/Scenario!$B$15,""),""))</f>
        <v>23822.6416747655</v>
      </c>
      <c r="C7" s="33" t="n">
        <f aca="false">IF($A7&lt;=C$6,"n/m",IFERROR(IF(Scenario!$B$15&gt;0,((Scenario!$C$20/(1+$A7)^1+Scenario!$C$21/(1+$A7)^2+Scenario!$C$22/(1+$A7)^3+Scenario!$C$23/(1+$A7)^4+Scenario!$C$24/(1+$A7)^5+(Scenario!$C$24*(1+C$6)/($A7-C$6))/(1+$A7)^5)-Scenario!$B$14)/Scenario!$B$15,""),""))</f>
        <v>26114.8821689175</v>
      </c>
      <c r="D7" s="33" t="n">
        <f aca="false">IF($A7&lt;=D$6,"n/m",IFERROR(IF(Scenario!$B$15&gt;0,((Scenario!$C$20/(1+$A7)^1+Scenario!$C$21/(1+$A7)^2+Scenario!$C$22/(1+$A7)^3+Scenario!$C$23/(1+$A7)^4+Scenario!$C$24/(1+$A7)^5+(Scenario!$C$24*(1+D$6)/($A7-D$6))/(1+$A7)^5)-Scenario!$B$14)/Scenario!$B$15,""),""))</f>
        <v>29171.2028277868</v>
      </c>
      <c r="E7" s="33" t="n">
        <f aca="false">IF($A7&lt;=E$6,"n/m",IFERROR(IF(Scenario!$B$15&gt;0,((Scenario!$C$20/(1+$A7)^1+Scenario!$C$21/(1+$A7)^2+Scenario!$C$22/(1+$A7)^3+Scenario!$C$23/(1+$A7)^4+Scenario!$C$24/(1+$A7)^5+(Scenario!$C$24*(1+E$6)/($A7-E$6))/(1+$A7)^5)-Scenario!$B$14)/Scenario!$B$15,""),""))</f>
        <v>33450.0517502039</v>
      </c>
      <c r="F7" s="33" t="n">
        <f aca="false">IF($A7&lt;=F$6,"n/m",IFERROR(IF(Scenario!$B$15&gt;0,((Scenario!$C$20/(1+$A7)^1+Scenario!$C$21/(1+$A7)^2+Scenario!$C$22/(1+$A7)^3+Scenario!$C$23/(1+$A7)^4+Scenario!$C$24/(1+$A7)^5+(Scenario!$C$24*(1+F$6)/($A7-F$6))/(1+$A7)^5)-Scenario!$B$14)/Scenario!$B$15,""),""))</f>
        <v>39868.3251338295</v>
      </c>
    </row>
    <row r="8" customFormat="false" ht="15" hidden="false" customHeight="false" outlineLevel="0" collapsed="false">
      <c r="A8" s="43" t="n">
        <f aca="false">Scenario!$B$13-0.02</f>
        <v>0.1</v>
      </c>
      <c r="B8" s="33" t="n">
        <f aca="false">IF($A8&lt;=B$6,"n/m",IFERROR(IF(Scenario!$B$15&gt;0,((Scenario!$C$20/(1+$A8)^1+Scenario!$C$21/(1+$A8)^2+Scenario!$C$22/(1+$A8)^3+Scenario!$C$23/(1+$A8)^4+Scenario!$C$24/(1+$A8)^5+(Scenario!$C$24*(1+B$6)/($A8-B$6))/(1+$A8)^5)-Scenario!$B$14)/Scenario!$B$15,""),""))</f>
        <v>21414.3783402694</v>
      </c>
      <c r="C8" s="33" t="n">
        <f aca="false">IF($A8&lt;=C$6,"n/m",IFERROR(IF(Scenario!$B$15&gt;0,((Scenario!$C$20/(1+$A8)^1+Scenario!$C$21/(1+$A8)^2+Scenario!$C$22/(1+$A8)^3+Scenario!$C$23/(1+$A8)^4+Scenario!$C$24/(1+$A8)^5+(Scenario!$C$24*(1+C$6)/($A8-C$6))/(1+$A8)^5)-Scenario!$B$14)/Scenario!$B$15,""),""))</f>
        <v>23133.2797275985</v>
      </c>
      <c r="D8" s="33" t="n">
        <f aca="false">IF($A8&lt;=D$6,"n/m",IFERROR(IF(Scenario!$B$15&gt;0,((Scenario!$C$20/(1+$A8)^1+Scenario!$C$21/(1+$A8)^2+Scenario!$C$22/(1+$A8)^3+Scenario!$C$23/(1+$A8)^4+Scenario!$C$24/(1+$A8)^5+(Scenario!$C$24*(1+D$6)/($A8-D$6))/(1+$A8)^5)-Scenario!$B$14)/Scenario!$B$15,""),""))</f>
        <v>25343.2957970215</v>
      </c>
      <c r="E8" s="33" t="n">
        <f aca="false">IF($A8&lt;=E$6,"n/m",IFERROR(IF(Scenario!$B$15&gt;0,((Scenario!$C$20/(1+$A8)^1+Scenario!$C$21/(1+$A8)^2+Scenario!$C$22/(1+$A8)^3+Scenario!$C$23/(1+$A8)^4+Scenario!$C$24/(1+$A8)^5+(Scenario!$C$24*(1+E$6)/($A8-E$6))/(1+$A8)^5)-Scenario!$B$14)/Scenario!$B$15,""),""))</f>
        <v>28289.9838895856</v>
      </c>
      <c r="F8" s="33" t="n">
        <f aca="false">IF($A8&lt;=F$6,"n/m",IFERROR(IF(Scenario!$B$15&gt;0,((Scenario!$C$20/(1+$A8)^1+Scenario!$C$21/(1+$A8)^2+Scenario!$C$22/(1+$A8)^3+Scenario!$C$23/(1+$A8)^4+Scenario!$C$24/(1+$A8)^5+(Scenario!$C$24*(1+F$6)/($A8-F$6))/(1+$A8)^5)-Scenario!$B$14)/Scenario!$B$15,""),""))</f>
        <v>32415.3472191752</v>
      </c>
    </row>
    <row r="9" customFormat="false" ht="15" hidden="false" customHeight="false" outlineLevel="0" collapsed="false">
      <c r="A9" s="43" t="n">
        <f aca="false">Scenario!$B$13-0.01</f>
        <v>0.11</v>
      </c>
      <c r="B9" s="33" t="n">
        <f aca="false">IF($A9&lt;=B$6,"n/m",IFERROR(IF(Scenario!$B$15&gt;0,((Scenario!$C$20/(1+$A9)^1+Scenario!$C$21/(1+$A9)^2+Scenario!$C$22/(1+$A9)^3+Scenario!$C$23/(1+$A9)^4+Scenario!$C$24/(1+$A9)^5+(Scenario!$C$24*(1+B$6)/($A9-B$6))/(1+$A9)^5)-Scenario!$B$14)/Scenario!$B$15,""),""))</f>
        <v>19489.5043169</v>
      </c>
      <c r="C9" s="33" t="n">
        <f aca="false">IF($A9&lt;=C$6,"n/m",IFERROR(IF(Scenario!$B$15&gt;0,((Scenario!$C$20/(1+$A9)^1+Scenario!$C$21/(1+$A9)^2+Scenario!$C$22/(1+$A9)^3+Scenario!$C$23/(1+$A9)^4+Scenario!$C$24/(1+$A9)^5+(Scenario!$C$24*(1+C$6)/($A9-C$6))/(1+$A9)^5)-Scenario!$B$14)/Scenario!$B$15,""),""))</f>
        <v>20815.7371475305</v>
      </c>
      <c r="D9" s="33" t="n">
        <f aca="false">IF($A9&lt;=D$6,"n/m",IFERROR(IF(Scenario!$B$15&gt;0,((Scenario!$C$20/(1+$A9)^1+Scenario!$C$21/(1+$A9)^2+Scenario!$C$22/(1+$A9)^3+Scenario!$C$23/(1+$A9)^4+Scenario!$C$24/(1+$A9)^5+(Scenario!$C$24*(1+D$6)/($A9-D$6))/(1+$A9)^5)-Scenario!$B$14)/Scenario!$B$15,""),""))</f>
        <v>22473.5281858187</v>
      </c>
      <c r="E9" s="33" t="n">
        <f aca="false">IF($A9&lt;=E$6,"n/m",IFERROR(IF(Scenario!$B$15&gt;0,((Scenario!$C$20/(1+$A9)^1+Scenario!$C$21/(1+$A9)^2+Scenario!$C$22/(1+$A9)^3+Scenario!$C$23/(1+$A9)^4+Scenario!$C$24/(1+$A9)^5+(Scenario!$C$24*(1+E$6)/($A9-E$6))/(1+$A9)^5)-Scenario!$B$14)/Scenario!$B$15,""),""))</f>
        <v>24604.9738064749</v>
      </c>
      <c r="F9" s="33" t="n">
        <f aca="false">IF($A9&lt;=F$6,"n/m",IFERROR(IF(Scenario!$B$15&gt;0,((Scenario!$C$20/(1+$A9)^1+Scenario!$C$21/(1+$A9)^2+Scenario!$C$22/(1+$A9)^3+Scenario!$C$23/(1+$A9)^4+Scenario!$C$24/(1+$A9)^5+(Scenario!$C$24*(1+F$6)/($A9-F$6))/(1+$A9)^5)-Scenario!$B$14)/Scenario!$B$15,""),""))</f>
        <v>27446.9013006832</v>
      </c>
    </row>
    <row r="10" customFormat="false" ht="15" hidden="false" customHeight="false" outlineLevel="0" collapsed="false">
      <c r="A10" s="43" t="n">
        <f aca="false">Scenario!$B$13+0</f>
        <v>0.12</v>
      </c>
      <c r="B10" s="33" t="n">
        <f aca="false">IF($A10&lt;=B$6,"n/m",IFERROR(IF(Scenario!$B$15&gt;0,((Scenario!$C$20/(1+$A10)^1+Scenario!$C$21/(1+$A10)^2+Scenario!$C$22/(1+$A10)^3+Scenario!$C$23/(1+$A10)^4+Scenario!$C$24/(1+$A10)^5+(Scenario!$C$24*(1+B$6)/($A10-B$6))/(1+$A10)^5)-Scenario!$B$14)/Scenario!$B$15,""),""))</f>
        <v>17916.116617507</v>
      </c>
      <c r="C10" s="33" t="n">
        <f aca="false">IF($A10&lt;=C$6,"n/m",IFERROR(IF(Scenario!$B$15&gt;0,((Scenario!$C$20/(1+$A10)^1+Scenario!$C$21/(1+$A10)^2+Scenario!$C$22/(1+$A10)^3+Scenario!$C$23/(1+$A10)^4+Scenario!$C$24/(1+$A10)^5+(Scenario!$C$24*(1+C$6)/($A10-C$6))/(1+$A10)^5)-Scenario!$B$14)/Scenario!$B$15,""),""))</f>
        <v>18962.9785878009</v>
      </c>
      <c r="D10" s="33" t="n">
        <f aca="false">IF($A10&lt;=D$6,"n/m",IFERROR(IF(Scenario!$B$15&gt;0,((Scenario!$C$20/(1+$A10)^1+Scenario!$C$21/(1+$A10)^2+Scenario!$C$22/(1+$A10)^3+Scenario!$C$23/(1+$A10)^4+Scenario!$C$24/(1+$A10)^5+(Scenario!$C$24*(1+D$6)/($A10-D$6))/(1+$A10)^5)-Scenario!$B$14)/Scenario!$B$15,""),""))</f>
        <v>20242.4765514934</v>
      </c>
      <c r="E10" s="33" t="n">
        <f aca="false">IF($A10&lt;=E$6,"n/m",IFERROR(IF(Scenario!$B$15&gt;0,((Scenario!$C$20/(1+$A10)^1+Scenario!$C$21/(1+$A10)^2+Scenario!$C$22/(1+$A10)^3+Scenario!$C$23/(1+$A10)^4+Scenario!$C$24/(1+$A10)^5+(Scenario!$C$24*(1+E$6)/($A10-E$6))/(1+$A10)^5)-Scenario!$B$14)/Scenario!$B$15,""),""))</f>
        <v>21841.849006109</v>
      </c>
      <c r="F10" s="33" t="n">
        <f aca="false">IF($A10&lt;=F$6,"n/m",IFERROR(IF(Scenario!$B$15&gt;0,((Scenario!$C$20/(1+$A10)^1+Scenario!$C$21/(1+$A10)^2+Scenario!$C$22/(1+$A10)^3+Scenario!$C$23/(1+$A10)^4+Scenario!$C$24/(1+$A10)^5+(Scenario!$C$24*(1+F$6)/($A10-F$6))/(1+$A10)^5)-Scenario!$B$14)/Scenario!$B$15,""),""))</f>
        <v>23898.1850191863</v>
      </c>
    </row>
    <row r="11" customFormat="false" ht="15" hidden="false" customHeight="false" outlineLevel="0" collapsed="false">
      <c r="A11" s="43" t="n">
        <f aca="false">Scenario!$B$13+0.01</f>
        <v>0.13</v>
      </c>
      <c r="B11" s="33" t="n">
        <f aca="false">IF($A11&lt;=B$6,"n/m",IFERROR(IF(Scenario!$B$15&gt;0,((Scenario!$C$20/(1+$A11)^1+Scenario!$C$21/(1+$A11)^2+Scenario!$C$22/(1+$A11)^3+Scenario!$C$23/(1+$A11)^4+Scenario!$C$24/(1+$A11)^5+(Scenario!$C$24*(1+B$6)/($A11-B$6))/(1+$A11)^5)-Scenario!$B$14)/Scenario!$B$15,""),""))</f>
        <v>16606.2833605712</v>
      </c>
      <c r="C11" s="33" t="n">
        <f aca="false">IF($A11&lt;=C$6,"n/m",IFERROR(IF(Scenario!$B$15&gt;0,((Scenario!$C$20/(1+$A11)^1+Scenario!$C$21/(1+$A11)^2+Scenario!$C$22/(1+$A11)^3+Scenario!$C$23/(1+$A11)^4+Scenario!$C$24/(1+$A11)^5+(Scenario!$C$24*(1+C$6)/($A11-C$6))/(1+$A11)^5)-Scenario!$B$14)/Scenario!$B$15,""),""))</f>
        <v>17448.1949619009</v>
      </c>
      <c r="D11" s="33" t="n">
        <f aca="false">IF($A11&lt;=D$6,"n/m",IFERROR(IF(Scenario!$B$15&gt;0,((Scenario!$C$20/(1+$A11)^1+Scenario!$C$21/(1+$A11)^2+Scenario!$C$22/(1+$A11)^3+Scenario!$C$23/(1+$A11)^4+Scenario!$C$24/(1+$A11)^5+(Scenario!$C$24*(1+D$6)/($A11-D$6))/(1+$A11)^5)-Scenario!$B$14)/Scenario!$B$15,""),""))</f>
        <v>18458.4888834966</v>
      </c>
      <c r="E11" s="33" t="n">
        <f aca="false">IF($A11&lt;=E$6,"n/m",IFERROR(IF(Scenario!$B$15&gt;0,((Scenario!$C$20/(1+$A11)^1+Scenario!$C$21/(1+$A11)^2+Scenario!$C$22/(1+$A11)^3+Scenario!$C$23/(1+$A11)^4+Scenario!$C$24/(1+$A11)^5+(Scenario!$C$24*(1+E$6)/($A11-E$6))/(1+$A11)^5)-Scenario!$B$14)/Scenario!$B$15,""),""))</f>
        <v>19693.2925654469</v>
      </c>
      <c r="F11" s="33" t="n">
        <f aca="false">IF($A11&lt;=F$6,"n/m",IFERROR(IF(Scenario!$B$15&gt;0,((Scenario!$C$20/(1+$A11)^1+Scenario!$C$21/(1+$A11)^2+Scenario!$C$22/(1+$A11)^3+Scenario!$C$23/(1+$A11)^4+Scenario!$C$24/(1+$A11)^5+(Scenario!$C$24*(1+F$6)/($A11-F$6))/(1+$A11)^5)-Scenario!$B$14)/Scenario!$B$15,""),""))</f>
        <v>21236.7971678847</v>
      </c>
    </row>
    <row r="12" customFormat="false" ht="15" hidden="false" customHeight="false" outlineLevel="0" collapsed="false">
      <c r="A12" s="43" t="n">
        <f aca="false">Scenario!$B$13+0.02</f>
        <v>0.14</v>
      </c>
      <c r="B12" s="33" t="n">
        <f aca="false">IF($A12&lt;=B$6,"n/m",IFERROR(IF(Scenario!$B$15&gt;0,((Scenario!$C$20/(1+$A12)^1+Scenario!$C$21/(1+$A12)^2+Scenario!$C$22/(1+$A12)^3+Scenario!$C$23/(1+$A12)^4+Scenario!$C$24/(1+$A12)^5+(Scenario!$C$24*(1+B$6)/($A12-B$6))/(1+$A12)^5)-Scenario!$B$14)/Scenario!$B$15,""),""))</f>
        <v>15499.1316052611</v>
      </c>
      <c r="C12" s="33" t="n">
        <f aca="false">IF($A12&lt;=C$6,"n/m",IFERROR(IF(Scenario!$B$15&gt;0,((Scenario!$C$20/(1+$A12)^1+Scenario!$C$21/(1+$A12)^2+Scenario!$C$22/(1+$A12)^3+Scenario!$C$23/(1+$A12)^4+Scenario!$C$24/(1+$A12)^5+(Scenario!$C$24*(1+C$6)/($A12-C$6))/(1+$A12)^5)-Scenario!$B$14)/Scenario!$B$15,""),""))</f>
        <v>16186.8492948305</v>
      </c>
      <c r="D12" s="33" t="n">
        <f aca="false">IF($A12&lt;=D$6,"n/m",IFERROR(IF(Scenario!$B$15&gt;0,((Scenario!$C$20/(1+$A12)^1+Scenario!$C$21/(1+$A12)^2+Scenario!$C$22/(1+$A12)^3+Scenario!$C$23/(1+$A12)^4+Scenario!$C$24/(1+$A12)^5+(Scenario!$C$24*(1+D$6)/($A12-D$6))/(1+$A12)^5)-Scenario!$B$14)/Scenario!$B$15,""),""))</f>
        <v>16999.6065643217</v>
      </c>
      <c r="E12" s="33" t="n">
        <f aca="false">IF($A12&lt;=E$6,"n/m",IFERROR(IF(Scenario!$B$15&gt;0,((Scenario!$C$20/(1+$A12)^1+Scenario!$C$21/(1+$A12)^2+Scenario!$C$22/(1+$A12)^3+Scenario!$C$23/(1+$A12)^4+Scenario!$C$24/(1+$A12)^5+(Scenario!$C$24*(1+E$6)/($A12-E$6))/(1+$A12)^5)-Scenario!$B$14)/Scenario!$B$15,""),""))</f>
        <v>17974.9152877111</v>
      </c>
      <c r="F12" s="33" t="n">
        <f aca="false">IF($A12&lt;=F$6,"n/m",IFERROR(IF(Scenario!$B$15&gt;0,((Scenario!$C$20/(1+$A12)^1+Scenario!$C$21/(1+$A12)^2+Scenario!$C$22/(1+$A12)^3+Scenario!$C$23/(1+$A12)^4+Scenario!$C$24/(1+$A12)^5+(Scenario!$C$24*(1+F$6)/($A12-F$6))/(1+$A12)^5)-Scenario!$B$14)/Scenario!$B$15,""),""))</f>
        <v>19166.9592829648</v>
      </c>
    </row>
    <row r="13" customFormat="false" ht="15" hidden="false" customHeight="false" outlineLevel="0" collapsed="false">
      <c r="A13" s="43" t="n">
        <f aca="false">Scenario!$B$13+0.03</f>
        <v>0.15</v>
      </c>
      <c r="B13" s="33" t="n">
        <f aca="false">IF($A13&lt;=B$6,"n/m",IFERROR(IF(Scenario!$B$15&gt;0,((Scenario!$C$20/(1+$A13)^1+Scenario!$C$21/(1+$A13)^2+Scenario!$C$22/(1+$A13)^3+Scenario!$C$23/(1+$A13)^4+Scenario!$C$24/(1+$A13)^5+(Scenario!$C$24*(1+B$6)/($A13-B$6))/(1+$A13)^5)-Scenario!$B$14)/Scenario!$B$15,""),""))</f>
        <v>14551.183270663</v>
      </c>
      <c r="C13" s="33" t="n">
        <f aca="false">IF($A13&lt;=C$6,"n/m",IFERROR(IF(Scenario!$B$15&gt;0,((Scenario!$C$20/(1+$A13)^1+Scenario!$C$21/(1+$A13)^2+Scenario!$C$22/(1+$A13)^3+Scenario!$C$23/(1+$A13)^4+Scenario!$C$24/(1+$A13)^5+(Scenario!$C$24*(1+C$6)/($A13-C$6))/(1+$A13)^5)-Scenario!$B$14)/Scenario!$B$15,""),""))</f>
        <v>15120.4180799448</v>
      </c>
      <c r="D13" s="33" t="n">
        <f aca="false">IF($A13&lt;=D$6,"n/m",IFERROR(IF(Scenario!$B$15&gt;0,((Scenario!$C$20/(1+$A13)^1+Scenario!$C$21/(1+$A13)^2+Scenario!$C$22/(1+$A13)^3+Scenario!$C$23/(1+$A13)^4+Scenario!$C$24/(1+$A13)^5+(Scenario!$C$24*(1+D$6)/($A13-D$6))/(1+$A13)^5)-Scenario!$B$14)/Scenario!$B$15,""),""))</f>
        <v>15784.5253574403</v>
      </c>
      <c r="E13" s="33" t="n">
        <f aca="false">IF($A13&lt;=E$6,"n/m",IFERROR(IF(Scenario!$B$15&gt;0,((Scenario!$C$20/(1+$A13)^1+Scenario!$C$21/(1+$A13)^2+Scenario!$C$22/(1+$A13)^3+Scenario!$C$23/(1+$A13)^4+Scenario!$C$24/(1+$A13)^5+(Scenario!$C$24*(1+E$6)/($A13-E$6))/(1+$A13)^5)-Scenario!$B$14)/Scenario!$B$15,""),""))</f>
        <v>16569.3794126622</v>
      </c>
      <c r="F13" s="33" t="n">
        <f aca="false">IF($A13&lt;=F$6,"n/m",IFERROR(IF(Scenario!$B$15&gt;0,((Scenario!$C$20/(1+$A13)^1+Scenario!$C$21/(1+$A13)^2+Scenario!$C$22/(1+$A13)^3+Scenario!$C$23/(1+$A13)^4+Scenario!$C$24/(1+$A13)^5+(Scenario!$C$24*(1+F$6)/($A13-F$6))/(1+$A13)^5)-Scenario!$B$14)/Scenario!$B$15,""),""))</f>
        <v>17511.2042789285</v>
      </c>
    </row>
    <row r="16" customFormat="false" ht="15" hidden="false" customHeight="false" outlineLevel="0" collapsed="false">
      <c r="A16" s="3" t="s">
        <v>224</v>
      </c>
      <c r="B16" s="3"/>
      <c r="C16" s="3"/>
      <c r="D16" s="3"/>
      <c r="E16" s="3"/>
      <c r="F16" s="3"/>
      <c r="G16" s="3"/>
    </row>
    <row r="17" customFormat="false" ht="15" hidden="false" customHeight="false" outlineLevel="0" collapsed="false">
      <c r="A17" s="42" t="s">
        <v>225</v>
      </c>
      <c r="B17" s="43" t="n">
        <f aca="false">AVERAGE(Scenario!$B$7:$B$11)-0.04</f>
        <v>0.0289631980326359</v>
      </c>
      <c r="C17" s="43" t="n">
        <f aca="false">AVERAGE(Scenario!$B$7:$B$11)-0.02</f>
        <v>0.0489631980326359</v>
      </c>
      <c r="D17" s="43" t="n">
        <f aca="false">AVERAGE(Scenario!$B$7:$B$11)+0</f>
        <v>0.0689631980326359</v>
      </c>
      <c r="E17" s="43" t="n">
        <f aca="false">AVERAGE(Scenario!$B$7:$B$11)+0.02</f>
        <v>0.0889631980326359</v>
      </c>
      <c r="F17" s="43" t="n">
        <f aca="false">AVERAGE(Scenario!$B$7:$B$11)+0.04</f>
        <v>0.108963198032636</v>
      </c>
    </row>
    <row r="18" customFormat="false" ht="15" hidden="false" customHeight="false" outlineLevel="0" collapsed="false">
      <c r="A18" s="43" t="n">
        <f aca="false">Scenario!$B$13-0.03</f>
        <v>0.09</v>
      </c>
      <c r="B18" s="33" t="n">
        <f aca="false">IF($A18&lt;=Scenario!$B$12,"n/m",IFERROR(IF(Scenario!$B$15&gt;0,((Scenario!$B$6*(1+B$17)^1/(1+$A18)^1+Scenario!$B$6*(1+B$17)^2/(1+$A18)^2+Scenario!$B$6*(1+B$17)^3/(1+$A18)^3+Scenario!$B$6*(1+B$17)^4/(1+$A18)^4+Scenario!$B$6*(1+B$17)^5/(1+$A18)^5+(Scenario!$B$6*(1+B$17)^5*(1+Scenario!$B$12)/($A18-Scenario!$B$12))/(1+$A18)^5)-Scenario!$B$14)/Scenario!$B$15,""),""))</f>
        <v>24877.1658455842</v>
      </c>
      <c r="C18" s="33" t="n">
        <f aca="false">IF($A18&lt;=Scenario!$B$12,"n/m",IFERROR(IF(Scenario!$B$15&gt;0,((Scenario!$B$6*(1+C$17)^1/(1+$A18)^1+Scenario!$B$6*(1+C$17)^2/(1+$A18)^2+Scenario!$B$6*(1+C$17)^3/(1+$A18)^3+Scenario!$B$6*(1+C$17)^4/(1+$A18)^4+Scenario!$B$6*(1+C$17)^5/(1+$A18)^5+(Scenario!$B$6*(1+C$17)^5*(1+Scenario!$B$12)/($A18-Scenario!$B$12))/(1+$A18)^5)-Scenario!$B$14)/Scenario!$B$15,""),""))</f>
        <v>26881.663852296</v>
      </c>
      <c r="D18" s="33" t="n">
        <f aca="false">IF($A18&lt;=Scenario!$B$12,"n/m",IFERROR(IF(Scenario!$B$15&gt;0,((Scenario!$B$6*(1+D$17)^1/(1+$A18)^1+Scenario!$B$6*(1+D$17)^2/(1+$A18)^2+Scenario!$B$6*(1+D$17)^3/(1+$A18)^3+Scenario!$B$6*(1+D$17)^4/(1+$A18)^4+Scenario!$B$6*(1+D$17)^5/(1+$A18)^5+(Scenario!$B$6*(1+D$17)^5*(1+Scenario!$B$12)/($A18-Scenario!$B$12))/(1+$A18)^5)-Scenario!$B$14)/Scenario!$B$15,""),""))</f>
        <v>29036.0854068007</v>
      </c>
      <c r="E18" s="33" t="n">
        <f aca="false">IF($A18&lt;=Scenario!$B$12,"n/m",IFERROR(IF(Scenario!$B$15&gt;0,((Scenario!$B$6*(1+E$17)^1/(1+$A18)^1+Scenario!$B$6*(1+E$17)^2/(1+$A18)^2+Scenario!$B$6*(1+E$17)^3/(1+$A18)^3+Scenario!$B$6*(1+E$17)^4/(1+$A18)^4+Scenario!$B$6*(1+E$17)^5/(1+$A18)^5+(Scenario!$B$6*(1+E$17)^5*(1+Scenario!$B$12)/($A18-Scenario!$B$12))/(1+$A18)^5)-Scenario!$B$14)/Scenario!$B$15,""),""))</f>
        <v>31348.9232310612</v>
      </c>
      <c r="F18" s="33" t="n">
        <f aca="false">IF($A18&lt;=Scenario!$B$12,"n/m",IFERROR(IF(Scenario!$B$15&gt;0,((Scenario!$B$6*(1+F$17)^1/(1+$A18)^1+Scenario!$B$6*(1+F$17)^2/(1+$A18)^2+Scenario!$B$6*(1+F$17)^3/(1+$A18)^3+Scenario!$B$6*(1+F$17)^4/(1+$A18)^4+Scenario!$B$6*(1+F$17)^5/(1+$A18)^5+(Scenario!$B$6*(1+F$17)^5*(1+Scenario!$B$12)/($A18-Scenario!$B$12))/(1+$A18)^5)-Scenario!$B$14)/Scenario!$B$15,""),""))</f>
        <v>33828.9884051786</v>
      </c>
    </row>
    <row r="19" customFormat="false" ht="15" hidden="false" customHeight="false" outlineLevel="0" collapsed="false">
      <c r="A19" s="43" t="n">
        <f aca="false">Scenario!$B$13-0.02</f>
        <v>0.1</v>
      </c>
      <c r="B19" s="33" t="n">
        <f aca="false">IF($A19&lt;=Scenario!$B$12,"n/m",IFERROR(IF(Scenario!$B$15&gt;0,((Scenario!$B$6*(1+B$17)^1/(1+$A19)^1+Scenario!$B$6*(1+B$17)^2/(1+$A19)^2+Scenario!$B$6*(1+B$17)^3/(1+$A19)^3+Scenario!$B$6*(1+B$17)^4/(1+$A19)^4+Scenario!$B$6*(1+B$17)^5/(1+$A19)^5+(Scenario!$B$6*(1+B$17)^5*(1+Scenario!$B$12)/($A19-Scenario!$B$12))/(1+$A19)^5)-Scenario!$B$14)/Scenario!$B$15,""),""))</f>
        <v>21706.9405423112</v>
      </c>
      <c r="C19" s="33" t="n">
        <f aca="false">IF($A19&lt;=Scenario!$B$12,"n/m",IFERROR(IF(Scenario!$B$15&gt;0,((Scenario!$B$6*(1+C$17)^1/(1+$A19)^1+Scenario!$B$6*(1+C$17)^2/(1+$A19)^2+Scenario!$B$6*(1+C$17)^3/(1+$A19)^3+Scenario!$B$6*(1+C$17)^4/(1+$A19)^4+Scenario!$B$6*(1+C$17)^5/(1+$A19)^5+(Scenario!$B$6*(1+C$17)^5*(1+Scenario!$B$12)/($A19-Scenario!$B$12))/(1+$A19)^5)-Scenario!$B$14)/Scenario!$B$15,""),""))</f>
        <v>23395.3370231135</v>
      </c>
      <c r="D19" s="33" t="n">
        <f aca="false">IF($A19&lt;=Scenario!$B$12,"n/m",IFERROR(IF(Scenario!$B$15&gt;0,((Scenario!$B$6*(1+D$17)^1/(1+$A19)^1+Scenario!$B$6*(1+D$17)^2/(1+$A19)^2+Scenario!$B$6*(1+D$17)^3/(1+$A19)^3+Scenario!$B$6*(1+D$17)^4/(1+$A19)^4+Scenario!$B$6*(1+D$17)^5/(1+$A19)^5+(Scenario!$B$6*(1+D$17)^5*(1+Scenario!$B$12)/($A19-Scenario!$B$12))/(1+$A19)^5)-Scenario!$B$14)/Scenario!$B$15,""),""))</f>
        <v>25208.8055621083</v>
      </c>
      <c r="E19" s="33" t="n">
        <f aca="false">IF($A19&lt;=Scenario!$B$12,"n/m",IFERROR(IF(Scenario!$B$15&gt;0,((Scenario!$B$6*(1+E$17)^1/(1+$A19)^1+Scenario!$B$6*(1+E$17)^2/(1+$A19)^2+Scenario!$B$6*(1+E$17)^3/(1+$A19)^3+Scenario!$B$6*(1+E$17)^4/(1+$A19)^4+Scenario!$B$6*(1+E$17)^5/(1+$A19)^5+(Scenario!$B$6*(1+E$17)^5*(1+Scenario!$B$12)/($A19-Scenario!$B$12))/(1+$A19)^5)-Scenario!$B$14)/Scenario!$B$15,""),""))</f>
        <v>27154.3973465954</v>
      </c>
      <c r="F19" s="33" t="n">
        <f aca="false">IF($A19&lt;=Scenario!$B$12,"n/m",IFERROR(IF(Scenario!$B$15&gt;0,((Scenario!$B$6*(1+F$17)^1/(1+$A19)^1+Scenario!$B$6*(1+F$17)^2/(1+$A19)^2+Scenario!$B$6*(1+F$17)^3/(1+$A19)^3+Scenario!$B$6*(1+F$17)^4/(1+$A19)^4+Scenario!$B$6*(1+F$17)^5/(1+$A19)^5+(Scenario!$B$6*(1+F$17)^5*(1+Scenario!$B$12)/($A19-Scenario!$B$12))/(1+$A19)^5)-Scenario!$B$14)/Scenario!$B$15,""),""))</f>
        <v>29239.4271406906</v>
      </c>
    </row>
    <row r="20" customFormat="false" ht="15" hidden="false" customHeight="false" outlineLevel="0" collapsed="false">
      <c r="A20" s="43" t="n">
        <f aca="false">Scenario!$B$13-0.01</f>
        <v>0.11</v>
      </c>
      <c r="B20" s="33" t="n">
        <f aca="false">IF($A20&lt;=Scenario!$B$12,"n/m",IFERROR(IF(Scenario!$B$15&gt;0,((Scenario!$B$6*(1+B$17)^1/(1+$A20)^1+Scenario!$B$6*(1+B$17)^2/(1+$A20)^2+Scenario!$B$6*(1+B$17)^3/(1+$A20)^3+Scenario!$B$6*(1+B$17)^4/(1+$A20)^4+Scenario!$B$6*(1+B$17)^5/(1+$A20)^5+(Scenario!$B$6*(1+B$17)^5*(1+Scenario!$B$12)/($A20-Scenario!$B$12))/(1+$A20)^5)-Scenario!$B$14)/Scenario!$B$15,""),""))</f>
        <v>19329.2266707051</v>
      </c>
      <c r="C20" s="33" t="n">
        <f aca="false">IF($A20&lt;=Scenario!$B$12,"n/m",IFERROR(IF(Scenario!$B$15&gt;0,((Scenario!$B$6*(1+C$17)^1/(1+$A20)^1+Scenario!$B$6*(1+C$17)^2/(1+$A20)^2+Scenario!$B$6*(1+C$17)^3/(1+$A20)^3+Scenario!$B$6*(1+C$17)^4/(1+$A20)^4+Scenario!$B$6*(1+C$17)^5/(1+$A20)^5+(Scenario!$B$6*(1+C$17)^5*(1+Scenario!$B$12)/($A20-Scenario!$B$12))/(1+$A20)^5)-Scenario!$B$14)/Scenario!$B$15,""),""))</f>
        <v>20781.465259015</v>
      </c>
      <c r="D20" s="33" t="n">
        <f aca="false">IF($A20&lt;=Scenario!$B$12,"n/m",IFERROR(IF(Scenario!$B$15&gt;0,((Scenario!$B$6*(1+D$17)^1/(1+$A20)^1+Scenario!$B$6*(1+D$17)^2/(1+$A20)^2+Scenario!$B$6*(1+D$17)^3/(1+$A20)^3+Scenario!$B$6*(1+D$17)^4/(1+$A20)^4+Scenario!$B$6*(1+D$17)^5/(1+$A20)^5+(Scenario!$B$6*(1+D$17)^5*(1+Scenario!$B$12)/($A20-Scenario!$B$12))/(1+$A20)^5)-Scenario!$B$14)/Scenario!$B$15,""),""))</f>
        <v>22340.2526491244</v>
      </c>
      <c r="E20" s="33" t="n">
        <f aca="false">IF($A20&lt;=Scenario!$B$12,"n/m",IFERROR(IF(Scenario!$B$15&gt;0,((Scenario!$B$6*(1+E$17)^1/(1+$A20)^1+Scenario!$B$6*(1+E$17)^2/(1+$A20)^2+Scenario!$B$6*(1+E$17)^3/(1+$A20)^3+Scenario!$B$6*(1+E$17)^4/(1+$A20)^4+Scenario!$B$6*(1+E$17)^5/(1+$A20)^5+(Scenario!$B$6*(1+E$17)^5*(1+Scenario!$B$12)/($A20-Scenario!$B$12))/(1+$A20)^5)-Scenario!$B$14)/Scenario!$B$15,""),""))</f>
        <v>24011.567090825</v>
      </c>
      <c r="F20" s="33" t="n">
        <f aca="false">IF($A20&lt;=Scenario!$B$12,"n/m",IFERROR(IF(Scenario!$B$15&gt;0,((Scenario!$B$6*(1+F$17)^1/(1+$A20)^1+Scenario!$B$6*(1+F$17)^2/(1+$A20)^2+Scenario!$B$6*(1+F$17)^3/(1+$A20)^3+Scenario!$B$6*(1+F$17)^4/(1+$A20)^4+Scenario!$B$6*(1+F$17)^5/(1+$A20)^5+(Scenario!$B$6*(1+F$17)^5*(1+Scenario!$B$12)/($A20-Scenario!$B$12))/(1+$A20)^5)-Scenario!$B$14)/Scenario!$B$15,""),""))</f>
        <v>25801.6096750603</v>
      </c>
    </row>
    <row r="21" customFormat="false" ht="15" hidden="false" customHeight="false" outlineLevel="0" collapsed="false">
      <c r="A21" s="43" t="n">
        <f aca="false">Scenario!$B$13+0</f>
        <v>0.12</v>
      </c>
      <c r="B21" s="33" t="n">
        <f aca="false">IF($A21&lt;=Scenario!$B$12,"n/m",IFERROR(IF(Scenario!$B$15&gt;0,((Scenario!$B$6*(1+B$17)^1/(1+$A21)^1+Scenario!$B$6*(1+B$17)^2/(1+$A21)^2+Scenario!$B$6*(1+B$17)^3/(1+$A21)^3+Scenario!$B$6*(1+B$17)^4/(1+$A21)^4+Scenario!$B$6*(1+B$17)^5/(1+$A21)^5+(Scenario!$B$6*(1+B$17)^5*(1+Scenario!$B$12)/($A21-Scenario!$B$12))/(1+$A21)^5)-Scenario!$B$14)/Scenario!$B$15,""),""))</f>
        <v>17479.8555854682</v>
      </c>
      <c r="C21" s="33" t="n">
        <f aca="false">IF($A21&lt;=Scenario!$B$12,"n/m",IFERROR(IF(Scenario!$B$15&gt;0,((Scenario!$B$6*(1+C$17)^1/(1+$A21)^1+Scenario!$B$6*(1+C$17)^2/(1+$A21)^2+Scenario!$B$6*(1+C$17)^3/(1+$A21)^3+Scenario!$B$6*(1+C$17)^4/(1+$A21)^4+Scenario!$B$6*(1+C$17)^5/(1+$A21)^5+(Scenario!$B$6*(1+C$17)^5*(1+Scenario!$B$12)/($A21-Scenario!$B$12))/(1+$A21)^5)-Scenario!$B$14)/Scenario!$B$15,""),""))</f>
        <v>18749.1944604265</v>
      </c>
      <c r="D21" s="33" t="n">
        <f aca="false">IF($A21&lt;=Scenario!$B$12,"n/m",IFERROR(IF(Scenario!$B$15&gt;0,((Scenario!$B$6*(1+D$17)^1/(1+$A21)^1+Scenario!$B$6*(1+D$17)^2/(1+$A21)^2+Scenario!$B$6*(1+D$17)^3/(1+$A21)^3+Scenario!$B$6*(1+D$17)^4/(1+$A21)^4+Scenario!$B$6*(1+D$17)^5/(1+$A21)^5+(Scenario!$B$6*(1+D$17)^5*(1+Scenario!$B$12)/($A21-Scenario!$B$12))/(1+$A21)^5)-Scenario!$B$14)/Scenario!$B$15,""),""))</f>
        <v>20110.7727506175</v>
      </c>
      <c r="E21" s="33" t="n">
        <f aca="false">IF($A21&lt;=Scenario!$B$12,"n/m",IFERROR(IF(Scenario!$B$15&gt;0,((Scenario!$B$6*(1+E$17)^1/(1+$A21)^1+Scenario!$B$6*(1+E$17)^2/(1+$A21)^2+Scenario!$B$6*(1+E$17)^3/(1+$A21)^3+Scenario!$B$6*(1+E$17)^4/(1+$A21)^4+Scenario!$B$6*(1+E$17)^5/(1+$A21)^5+(Scenario!$B$6*(1+E$17)^5*(1+Scenario!$B$12)/($A21-Scenario!$B$12))/(1+$A21)^5)-Scenario!$B$14)/Scenario!$B$15,""),""))</f>
        <v>21569.7411330353</v>
      </c>
      <c r="F21" s="33" t="n">
        <f aca="false">IF($A21&lt;=Scenario!$B$12,"n/m",IFERROR(IF(Scenario!$B$15&gt;0,((Scenario!$B$6*(1+F$17)^1/(1+$A21)^1+Scenario!$B$6*(1+F$17)^2/(1+$A21)^2+Scenario!$B$6*(1+F$17)^3/(1+$A21)^3+Scenario!$B$6*(1+F$17)^4/(1+$A21)^4+Scenario!$B$6*(1+F$17)^5/(1+$A21)^5+(Scenario!$B$6*(1+F$17)^5*(1+Scenario!$B$12)/($A21-Scenario!$B$12))/(1+$A21)^5)-Scenario!$B$14)/Scenario!$B$15,""),""))</f>
        <v>23131.4417378299</v>
      </c>
    </row>
    <row r="22" customFormat="false" ht="15" hidden="false" customHeight="false" outlineLevel="0" collapsed="false">
      <c r="A22" s="43" t="n">
        <f aca="false">Scenario!$B$13+0.01</f>
        <v>0.13</v>
      </c>
      <c r="B22" s="33" t="n">
        <f aca="false">IF($A22&lt;=Scenario!$B$12,"n/m",IFERROR(IF(Scenario!$B$15&gt;0,((Scenario!$B$6*(1+B$17)^1/(1+$A22)^1+Scenario!$B$6*(1+B$17)^2/(1+$A22)^2+Scenario!$B$6*(1+B$17)^3/(1+$A22)^3+Scenario!$B$6*(1+B$17)^4/(1+$A22)^4+Scenario!$B$6*(1+B$17)^5/(1+$A22)^5+(Scenario!$B$6*(1+B$17)^5*(1+Scenario!$B$12)/($A22-Scenario!$B$12))/(1+$A22)^5)-Scenario!$B$14)/Scenario!$B$15,""),""))</f>
        <v>16000.326007738</v>
      </c>
      <c r="C22" s="33" t="n">
        <f aca="false">IF($A22&lt;=Scenario!$B$12,"n/m",IFERROR(IF(Scenario!$B$15&gt;0,((Scenario!$B$6*(1+C$17)^1/(1+$A22)^1+Scenario!$B$6*(1+C$17)^2/(1+$A22)^2+Scenario!$B$6*(1+C$17)^3/(1+$A22)^3+Scenario!$B$6*(1+C$17)^4/(1+$A22)^4+Scenario!$B$6*(1+C$17)^5/(1+$A22)^5+(Scenario!$B$6*(1+C$17)^5*(1+Scenario!$B$12)/($A22-Scenario!$B$12))/(1+$A22)^5)-Scenario!$B$14)/Scenario!$B$15,""),""))</f>
        <v>17124.0139601262</v>
      </c>
      <c r="D22" s="33" t="n">
        <f aca="false">IF($A22&lt;=Scenario!$B$12,"n/m",IFERROR(IF(Scenario!$B$15&gt;0,((Scenario!$B$6*(1+D$17)^1/(1+$A22)^1+Scenario!$B$6*(1+D$17)^2/(1+$A22)^2+Scenario!$B$6*(1+D$17)^3/(1+$A22)^3+Scenario!$B$6*(1+D$17)^4/(1+$A22)^4+Scenario!$B$6*(1+D$17)^5/(1+$A22)^5+(Scenario!$B$6*(1+D$17)^5*(1+Scenario!$B$12)/($A22-Scenario!$B$12))/(1+$A22)^5)-Scenario!$B$14)/Scenario!$B$15,""),""))</f>
        <v>18328.5774490797</v>
      </c>
      <c r="E22" s="33" t="n">
        <f aca="false">IF($A22&lt;=Scenario!$B$12,"n/m",IFERROR(IF(Scenario!$B$15&gt;0,((Scenario!$B$6*(1+E$17)^1/(1+$A22)^1+Scenario!$B$6*(1+E$17)^2/(1+$A22)^2+Scenario!$B$6*(1+E$17)^3/(1+$A22)^3+Scenario!$B$6*(1+E$17)^4/(1+$A22)^4+Scenario!$B$6*(1+E$17)^5/(1+$A22)^5+(Scenario!$B$6*(1+E$17)^5*(1+Scenario!$B$12)/($A22-Scenario!$B$12))/(1+$A22)^5)-Scenario!$B$14)/Scenario!$B$15,""),""))</f>
        <v>19618.5110234986</v>
      </c>
      <c r="F22" s="33" t="n">
        <f aca="false">IF($A22&lt;=Scenario!$B$12,"n/m",IFERROR(IF(Scenario!$B$15&gt;0,((Scenario!$B$6*(1+F$17)^1/(1+$A22)^1+Scenario!$B$6*(1+F$17)^2/(1+$A22)^2+Scenario!$B$6*(1+F$17)^3/(1+$A22)^3+Scenario!$B$6*(1+F$17)^4/(1+$A22)^4+Scenario!$B$6*(1+F$17)^5/(1+$A22)^5+(Scenario!$B$6*(1+F$17)^5*(1+Scenario!$B$12)/($A22-Scenario!$B$12))/(1+$A22)^5)-Scenario!$B$14)/Scenario!$B$15,""),""))</f>
        <v>20998.4758271891</v>
      </c>
    </row>
    <row r="23" customFormat="false" ht="15" hidden="false" customHeight="false" outlineLevel="0" collapsed="false">
      <c r="A23" s="43" t="n">
        <f aca="false">Scenario!$B$13+0.02</f>
        <v>0.14</v>
      </c>
      <c r="B23" s="33" t="n">
        <f aca="false">IF($A23&lt;=Scenario!$B$12,"n/m",IFERROR(IF(Scenario!$B$15&gt;0,((Scenario!$B$6*(1+B$17)^1/(1+$A23)^1+Scenario!$B$6*(1+B$17)^2/(1+$A23)^2+Scenario!$B$6*(1+B$17)^3/(1+$A23)^3+Scenario!$B$6*(1+B$17)^4/(1+$A23)^4+Scenario!$B$6*(1+B$17)^5/(1+$A23)^5+(Scenario!$B$6*(1+B$17)^5*(1+Scenario!$B$12)/($A23-Scenario!$B$12))/(1+$A23)^5)-Scenario!$B$14)/Scenario!$B$15,""),""))</f>
        <v>14789.7734093724</v>
      </c>
      <c r="C23" s="33" t="n">
        <f aca="false">IF($A23&lt;=Scenario!$B$12,"n/m",IFERROR(IF(Scenario!$B$15&gt;0,((Scenario!$B$6*(1+C$17)^1/(1+$A23)^1+Scenario!$B$6*(1+C$17)^2/(1+$A23)^2+Scenario!$B$6*(1+C$17)^3/(1+$A23)^3+Scenario!$B$6*(1+C$17)^4/(1+$A23)^4+Scenario!$B$6*(1+C$17)^5/(1+$A23)^5+(Scenario!$B$6*(1+C$17)^5*(1+Scenario!$B$12)/($A23-Scenario!$B$12))/(1+$A23)^5)-Scenario!$B$14)/Scenario!$B$15,""),""))</f>
        <v>15794.8730393308</v>
      </c>
      <c r="D23" s="33" t="n">
        <f aca="false">IF($A23&lt;=Scenario!$B$12,"n/m",IFERROR(IF(Scenario!$B$15&gt;0,((Scenario!$B$6*(1+D$17)^1/(1+$A23)^1+Scenario!$B$6*(1+D$17)^2/(1+$A23)^2+Scenario!$B$6*(1+D$17)^3/(1+$A23)^3+Scenario!$B$6*(1+D$17)^4/(1+$A23)^4+Scenario!$B$6*(1+D$17)^5/(1+$A23)^5+(Scenario!$B$6*(1+D$17)^5*(1+Scenario!$B$12)/($A23-Scenario!$B$12))/(1+$A23)^5)-Scenario!$B$14)/Scenario!$B$15,""),""))</f>
        <v>16871.6229130887</v>
      </c>
      <c r="E23" s="33" t="n">
        <f aca="false">IF($A23&lt;=Scenario!$B$12,"n/m",IFERROR(IF(Scenario!$B$15&gt;0,((Scenario!$B$6*(1+E$17)^1/(1+$A23)^1+Scenario!$B$6*(1+E$17)^2/(1+$A23)^2+Scenario!$B$6*(1+E$17)^3/(1+$A23)^3+Scenario!$B$6*(1+E$17)^4/(1+$A23)^4+Scenario!$B$6*(1+E$17)^5/(1+$A23)^5+(Scenario!$B$6*(1+E$17)^5*(1+Scenario!$B$12)/($A23-Scenario!$B$12))/(1+$A23)^5)-Scenario!$B$14)/Scenario!$B$15,""),""))</f>
        <v>18023.9858726487</v>
      </c>
      <c r="F23" s="33" t="n">
        <f aca="false">IF($A23&lt;=Scenario!$B$12,"n/m",IFERROR(IF(Scenario!$B$15&gt;0,((Scenario!$B$6*(1+F$17)^1/(1+$A23)^1+Scenario!$B$6*(1+F$17)^2/(1+$A23)^2+Scenario!$B$6*(1+F$17)^3/(1+$A23)^3+Scenario!$B$6*(1+F$17)^4/(1+$A23)^4+Scenario!$B$6*(1+F$17)^5/(1+$A23)^5+(Scenario!$B$6*(1+F$17)^5*(1+Scenario!$B$12)/($A23-Scenario!$B$12))/(1+$A23)^5)-Scenario!$B$14)/Scenario!$B$15,""),""))</f>
        <v>19256.0712339317</v>
      </c>
    </row>
    <row r="24" customFormat="false" ht="15" hidden="false" customHeight="false" outlineLevel="0" collapsed="false">
      <c r="A24" s="43" t="n">
        <f aca="false">Scenario!$B$13+0.03</f>
        <v>0.15</v>
      </c>
      <c r="B24" s="33" t="n">
        <f aca="false">IF($A24&lt;=Scenario!$B$12,"n/m",IFERROR(IF(Scenario!$B$15&gt;0,((Scenario!$B$6*(1+B$17)^1/(1+$A24)^1+Scenario!$B$6*(1+B$17)^2/(1+$A24)^2+Scenario!$B$6*(1+B$17)^3/(1+$A24)^3+Scenario!$B$6*(1+B$17)^4/(1+$A24)^4+Scenario!$B$6*(1+B$17)^5/(1+$A24)^5+(Scenario!$B$6*(1+B$17)^5*(1+Scenario!$B$12)/($A24-Scenario!$B$12))/(1+$A24)^5)-Scenario!$B$14)/Scenario!$B$15,""),""))</f>
        <v>13780.9547047295</v>
      </c>
      <c r="C24" s="33" t="n">
        <f aca="false">IF($A24&lt;=Scenario!$B$12,"n/m",IFERROR(IF(Scenario!$B$15&gt;0,((Scenario!$B$6*(1+C$17)^1/(1+$A24)^1+Scenario!$B$6*(1+C$17)^2/(1+$A24)^2+Scenario!$B$6*(1+C$17)^3/(1+$A24)^3+Scenario!$B$6*(1+C$17)^4/(1+$A24)^4+Scenario!$B$6*(1+C$17)^5/(1+$A24)^5+(Scenario!$B$6*(1+C$17)^5*(1+Scenario!$B$12)/($A24-Scenario!$B$12))/(1+$A24)^5)-Scenario!$B$14)/Scenario!$B$15,""),""))</f>
        <v>14687.7391928459</v>
      </c>
      <c r="D24" s="33" t="n">
        <f aca="false">IF($A24&lt;=Scenario!$B$12,"n/m",IFERROR(IF(Scenario!$B$15&gt;0,((Scenario!$B$6*(1+D$17)^1/(1+$A24)^1+Scenario!$B$6*(1+D$17)^2/(1+$A24)^2+Scenario!$B$6*(1+D$17)^3/(1+$A24)^3+Scenario!$B$6*(1+D$17)^4/(1+$A24)^4+Scenario!$B$6*(1+D$17)^5/(1+$A24)^5+(Scenario!$B$6*(1+D$17)^5*(1+Scenario!$B$12)/($A24-Scenario!$B$12))/(1+$A24)^5)-Scenario!$B$14)/Scenario!$B$15,""),""))</f>
        <v>15658.5494561191</v>
      </c>
      <c r="E24" s="33" t="n">
        <f aca="false">IF($A24&lt;=Scenario!$B$12,"n/m",IFERROR(IF(Scenario!$B$15&gt;0,((Scenario!$B$6*(1+E$17)^1/(1+$A24)^1+Scenario!$B$6*(1+E$17)^2/(1+$A24)^2+Scenario!$B$6*(1+E$17)^3/(1+$A24)^3+Scenario!$B$6*(1+E$17)^4/(1+$A24)^4+Scenario!$B$6*(1+E$17)^5/(1+$A24)^5+(Scenario!$B$6*(1+E$17)^5*(1+Scenario!$B$12)/($A24-Scenario!$B$12))/(1+$A24)^5)-Scenario!$B$14)/Scenario!$B$15,""),""))</f>
        <v>16696.9097159588</v>
      </c>
      <c r="F24" s="33" t="n">
        <f aca="false">IF($A24&lt;=Scenario!$B$12,"n/m",IFERROR(IF(Scenario!$B$15&gt;0,((Scenario!$B$6*(1+F$17)^1/(1+$A24)^1+Scenario!$B$6*(1+F$17)^2/(1+$A24)^2+Scenario!$B$6*(1+F$17)^3/(1+$A24)^3+Scenario!$B$6*(1+F$17)^4/(1+$A24)^4+Scenario!$B$6*(1+F$17)^5/(1+$A24)^5+(Scenario!$B$6*(1+F$17)^5*(1+Scenario!$B$12)/($A24-Scenario!$B$12))/(1+$A24)^5)-Scenario!$B$14)/Scenario!$B$15,""),""))</f>
        <v>17806.4740896082</v>
      </c>
    </row>
    <row r="26" customFormat="false" ht="15" hidden="false" customHeight="false" outlineLevel="0" collapsed="false">
      <c r="A26" s="4" t="s">
        <v>226</v>
      </c>
      <c r="B26" s="44" t="n">
        <f aca="false">Scenario!$B$5</f>
        <v>7325</v>
      </c>
    </row>
    <row r="27" customFormat="false" ht="15" hidden="false" customHeight="false" outlineLevel="0" collapsed="false">
      <c r="A27" s="4" t="s">
        <v>227</v>
      </c>
      <c r="B27" s="44" t="n">
        <f aca="false">Scenario!$B$33</f>
        <v>20242.4765514934</v>
      </c>
    </row>
  </sheetData>
  <conditionalFormatting sqref="B7:F1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18:F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52"/>
    <col collapsed="false" customWidth="true" hidden="false" outlineLevel="0" max="9" min="9" style="0" width="42"/>
    <col collapsed="false" customWidth="true" hidden="false" outlineLevel="0" max="10" min="10" style="0" width="38"/>
    <col collapsed="false" customWidth="true" hidden="false" outlineLevel="0" max="12" min="11" style="0" width="42"/>
    <col collapsed="false" customWidth="true" hidden="false" outlineLevel="0" max="13" min="13" style="0" width="13"/>
    <col collapsed="false" customWidth="true" hidden="false" outlineLevel="0" max="15" min="14" style="0" width="15"/>
    <col collapsed="false" customWidth="true" hidden="false" outlineLevel="0" max="16" min="16" style="0" width="14"/>
    <col collapsed="false" customWidth="true" hidden="false" outlineLevel="0" max="17" min="17" style="0" width="26"/>
    <col collapsed="false" customWidth="true" hidden="false" outlineLevel="0" max="18" min="18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15" hidden="false" customHeight="false" outlineLevel="0" collapsed="false">
      <c r="A3" s="14" t="s">
        <v>230</v>
      </c>
    </row>
    <row r="4" customFormat="false" ht="23.85" hidden="false" customHeight="false" outlineLevel="0" collapsed="false">
      <c r="A4" s="8" t="s">
        <v>231</v>
      </c>
      <c r="B4" s="8" t="s">
        <v>27</v>
      </c>
      <c r="C4" s="8" t="s">
        <v>28</v>
      </c>
      <c r="D4" s="8" t="s">
        <v>232</v>
      </c>
      <c r="E4" s="8" t="s">
        <v>32</v>
      </c>
      <c r="F4" s="8" t="s">
        <v>233</v>
      </c>
      <c r="G4" s="8" t="s">
        <v>9</v>
      </c>
      <c r="H4" s="8" t="s">
        <v>234</v>
      </c>
      <c r="I4" s="8" t="s">
        <v>235</v>
      </c>
      <c r="J4" s="8" t="s">
        <v>236</v>
      </c>
      <c r="K4" s="8" t="s">
        <v>237</v>
      </c>
      <c r="L4" s="8" t="s">
        <v>238</v>
      </c>
      <c r="M4" s="8" t="s">
        <v>239</v>
      </c>
      <c r="N4" s="8" t="s">
        <v>240</v>
      </c>
      <c r="O4" s="8" t="s">
        <v>241</v>
      </c>
      <c r="P4" s="8" t="s">
        <v>242</v>
      </c>
      <c r="Q4" s="8" t="s">
        <v>243</v>
      </c>
      <c r="R4" s="8" t="s">
        <v>244</v>
      </c>
    </row>
    <row r="5" customFormat="false" ht="60" hidden="false" customHeight="true" outlineLevel="0" collapsed="false">
      <c r="A5" s="45" t="s">
        <v>245</v>
      </c>
      <c r="B5" s="45" t="s">
        <v>44</v>
      </c>
      <c r="C5" s="45" t="s">
        <v>246</v>
      </c>
      <c r="D5" s="46" t="n">
        <v>7325</v>
      </c>
      <c r="E5" s="46" t="n">
        <v>10328.03</v>
      </c>
      <c r="F5" s="47" t="n">
        <v>0.2908</v>
      </c>
      <c r="G5" s="45" t="s">
        <v>18</v>
      </c>
      <c r="H5" s="45" t="s">
        <v>247</v>
      </c>
      <c r="I5" s="45" t="s">
        <v>248</v>
      </c>
      <c r="J5" s="45" t="s">
        <v>249</v>
      </c>
      <c r="K5" s="45" t="s">
        <v>250</v>
      </c>
      <c r="L5" s="45" t="s">
        <v>251</v>
      </c>
      <c r="M5" s="46" t="n">
        <v>9295.23</v>
      </c>
      <c r="N5" s="47" t="n">
        <v>0.269</v>
      </c>
      <c r="O5" s="45" t="s">
        <v>252</v>
      </c>
      <c r="P5" s="45" t="s">
        <v>253</v>
      </c>
      <c r="Q5" s="45" t="s">
        <v>254</v>
      </c>
      <c r="R5" s="45" t="s">
        <v>255</v>
      </c>
    </row>
    <row r="6" customFormat="false" ht="15" hidden="false" customHeight="false" outlineLevel="0" collapsed="false">
      <c r="A6" s="48"/>
      <c r="B6" s="48"/>
      <c r="C6" s="48"/>
      <c r="D6" s="49"/>
      <c r="E6" s="49"/>
      <c r="F6" s="50"/>
      <c r="G6" s="48"/>
      <c r="H6" s="48"/>
      <c r="I6" s="48"/>
      <c r="J6" s="48"/>
      <c r="K6" s="48"/>
      <c r="L6" s="48"/>
      <c r="M6" s="49"/>
      <c r="N6" s="50"/>
      <c r="O6" s="48"/>
      <c r="P6" s="48"/>
      <c r="Q6" s="48"/>
      <c r="R6" s="48"/>
    </row>
    <row r="7" customFormat="false" ht="15" hidden="false" customHeight="false" outlineLevel="0" collapsed="false">
      <c r="A7" s="48"/>
      <c r="B7" s="48"/>
      <c r="C7" s="48"/>
      <c r="D7" s="49"/>
      <c r="E7" s="49"/>
      <c r="F7" s="50"/>
      <c r="G7" s="48"/>
      <c r="H7" s="48"/>
      <c r="I7" s="48"/>
      <c r="J7" s="48"/>
      <c r="K7" s="48"/>
      <c r="L7" s="48"/>
      <c r="M7" s="49"/>
      <c r="N7" s="50"/>
      <c r="O7" s="48"/>
      <c r="P7" s="48"/>
      <c r="Q7" s="48"/>
      <c r="R7" s="48"/>
    </row>
    <row r="8" customFormat="false" ht="15" hidden="false" customHeight="false" outlineLevel="0" collapsed="false">
      <c r="A8" s="48"/>
      <c r="B8" s="48"/>
      <c r="C8" s="48"/>
      <c r="D8" s="49"/>
      <c r="E8" s="49"/>
      <c r="F8" s="50"/>
      <c r="G8" s="48"/>
      <c r="H8" s="48"/>
      <c r="I8" s="48"/>
      <c r="J8" s="48"/>
      <c r="K8" s="48"/>
      <c r="L8" s="48"/>
      <c r="M8" s="49"/>
      <c r="N8" s="50"/>
      <c r="O8" s="48"/>
      <c r="P8" s="48"/>
      <c r="Q8" s="48"/>
      <c r="R8" s="48"/>
    </row>
    <row r="9" customFormat="false" ht="15" hidden="false" customHeight="false" outlineLevel="0" collapsed="false">
      <c r="A9" s="48"/>
      <c r="B9" s="48"/>
      <c r="C9" s="48"/>
      <c r="D9" s="49"/>
      <c r="E9" s="49"/>
      <c r="F9" s="50"/>
      <c r="G9" s="48"/>
      <c r="H9" s="48"/>
      <c r="I9" s="48"/>
      <c r="J9" s="48"/>
      <c r="K9" s="48"/>
      <c r="L9" s="48"/>
      <c r="M9" s="49"/>
      <c r="N9" s="50"/>
      <c r="O9" s="48"/>
      <c r="P9" s="48"/>
      <c r="Q9" s="48"/>
      <c r="R9" s="48"/>
    </row>
    <row r="10" customFormat="false" ht="15" hidden="false" customHeight="false" outlineLevel="0" collapsed="false">
      <c r="A10" s="48"/>
      <c r="B10" s="48"/>
      <c r="C10" s="48"/>
      <c r="D10" s="49"/>
      <c r="E10" s="49"/>
      <c r="F10" s="50"/>
      <c r="G10" s="48"/>
      <c r="H10" s="48"/>
      <c r="I10" s="48"/>
      <c r="J10" s="48"/>
      <c r="K10" s="48"/>
      <c r="L10" s="48"/>
      <c r="M10" s="49"/>
      <c r="N10" s="50"/>
      <c r="O10" s="48"/>
      <c r="P10" s="48"/>
      <c r="Q10" s="48"/>
      <c r="R10" s="48"/>
    </row>
    <row r="11" customFormat="false" ht="15" hidden="false" customHeight="false" outlineLevel="0" collapsed="false">
      <c r="A11" s="48"/>
      <c r="B11" s="48"/>
      <c r="C11" s="48"/>
      <c r="D11" s="49"/>
      <c r="E11" s="49"/>
      <c r="F11" s="50"/>
      <c r="G11" s="48"/>
      <c r="H11" s="48"/>
      <c r="I11" s="48"/>
      <c r="J11" s="48"/>
      <c r="K11" s="48"/>
      <c r="L11" s="48"/>
      <c r="M11" s="49"/>
      <c r="N11" s="50"/>
      <c r="O11" s="48"/>
      <c r="P11" s="48"/>
      <c r="Q11" s="48"/>
      <c r="R11" s="48"/>
    </row>
    <row r="12" customFormat="false" ht="15" hidden="false" customHeight="false" outlineLevel="0" collapsed="false">
      <c r="A12" s="48"/>
      <c r="B12" s="48"/>
      <c r="C12" s="48"/>
      <c r="D12" s="49"/>
      <c r="E12" s="49"/>
      <c r="F12" s="50"/>
      <c r="G12" s="48"/>
      <c r="H12" s="48"/>
      <c r="I12" s="48"/>
      <c r="J12" s="48"/>
      <c r="K12" s="48"/>
      <c r="L12" s="48"/>
      <c r="M12" s="49"/>
      <c r="N12" s="50"/>
      <c r="O12" s="48"/>
      <c r="P12" s="48"/>
      <c r="Q12" s="48"/>
      <c r="R12" s="48"/>
    </row>
    <row r="13" customFormat="false" ht="15" hidden="false" customHeight="false" outlineLevel="0" collapsed="false">
      <c r="A13" s="48"/>
      <c r="B13" s="48"/>
      <c r="C13" s="48"/>
      <c r="D13" s="49"/>
      <c r="E13" s="49"/>
      <c r="F13" s="50"/>
      <c r="G13" s="48"/>
      <c r="H13" s="48"/>
      <c r="I13" s="48"/>
      <c r="J13" s="48"/>
      <c r="K13" s="48"/>
      <c r="L13" s="48"/>
      <c r="M13" s="49"/>
      <c r="N13" s="50"/>
      <c r="O13" s="48"/>
      <c r="P13" s="48"/>
      <c r="Q13" s="48"/>
      <c r="R13" s="48"/>
    </row>
    <row r="14" customFormat="false" ht="15" hidden="false" customHeight="false" outlineLevel="0" collapsed="false">
      <c r="A14" s="48"/>
      <c r="B14" s="48"/>
      <c r="C14" s="48"/>
      <c r="D14" s="49"/>
      <c r="E14" s="49"/>
      <c r="F14" s="50"/>
      <c r="G14" s="48"/>
      <c r="H14" s="48"/>
      <c r="I14" s="48"/>
      <c r="J14" s="48"/>
      <c r="K14" s="48"/>
      <c r="L14" s="48"/>
      <c r="M14" s="49"/>
      <c r="N14" s="50"/>
      <c r="O14" s="48"/>
      <c r="P14" s="48"/>
      <c r="Q14" s="48"/>
      <c r="R14" s="48"/>
    </row>
    <row r="15" customFormat="false" ht="15" hidden="false" customHeight="false" outlineLevel="0" collapsed="false">
      <c r="A15" s="48"/>
      <c r="B15" s="48"/>
      <c r="C15" s="48"/>
      <c r="D15" s="49"/>
      <c r="E15" s="49"/>
      <c r="F15" s="50"/>
      <c r="G15" s="48"/>
      <c r="H15" s="48"/>
      <c r="I15" s="48"/>
      <c r="J15" s="48"/>
      <c r="K15" s="48"/>
      <c r="L15" s="48"/>
      <c r="M15" s="49"/>
      <c r="N15" s="50"/>
      <c r="O15" s="48"/>
      <c r="P15" s="48"/>
      <c r="Q15" s="48"/>
      <c r="R15" s="48"/>
    </row>
    <row r="16" customFormat="false" ht="15" hidden="false" customHeight="false" outlineLevel="0" collapsed="false">
      <c r="A16" s="48"/>
      <c r="B16" s="48"/>
      <c r="C16" s="48"/>
      <c r="D16" s="49"/>
      <c r="E16" s="49"/>
      <c r="F16" s="50"/>
      <c r="G16" s="48"/>
      <c r="H16" s="48"/>
      <c r="I16" s="48"/>
      <c r="J16" s="48"/>
      <c r="K16" s="48"/>
      <c r="L16" s="48"/>
      <c r="M16" s="49"/>
      <c r="N16" s="50"/>
      <c r="O16" s="48"/>
      <c r="P16" s="48"/>
      <c r="Q16" s="48"/>
      <c r="R16" s="48"/>
    </row>
    <row r="17" customFormat="false" ht="15" hidden="false" customHeight="false" outlineLevel="0" collapsed="false">
      <c r="A17" s="48"/>
      <c r="B17" s="48"/>
      <c r="C17" s="48"/>
      <c r="D17" s="49"/>
      <c r="E17" s="49"/>
      <c r="F17" s="50"/>
      <c r="G17" s="48"/>
      <c r="H17" s="48"/>
      <c r="I17" s="48"/>
      <c r="J17" s="48"/>
      <c r="K17" s="48"/>
      <c r="L17" s="48"/>
      <c r="M17" s="49"/>
      <c r="N17" s="50"/>
      <c r="O17" s="48"/>
      <c r="P17" s="48"/>
      <c r="Q17" s="48"/>
      <c r="R17" s="48"/>
    </row>
    <row r="18" customFormat="false" ht="15" hidden="false" customHeight="false" outlineLevel="0" collapsed="false">
      <c r="A18" s="48"/>
      <c r="B18" s="48"/>
      <c r="C18" s="48"/>
      <c r="D18" s="49"/>
      <c r="E18" s="49"/>
      <c r="F18" s="50"/>
      <c r="G18" s="48"/>
      <c r="H18" s="48"/>
      <c r="I18" s="48"/>
      <c r="J18" s="48"/>
      <c r="K18" s="48"/>
      <c r="L18" s="48"/>
      <c r="M18" s="49"/>
      <c r="N18" s="50"/>
      <c r="O18" s="48"/>
      <c r="P18" s="48"/>
      <c r="Q18" s="48"/>
      <c r="R18" s="48"/>
    </row>
    <row r="19" customFormat="false" ht="15" hidden="false" customHeight="false" outlineLevel="0" collapsed="false">
      <c r="A19" s="48"/>
      <c r="B19" s="48"/>
      <c r="C19" s="48"/>
      <c r="D19" s="49"/>
      <c r="E19" s="49"/>
      <c r="F19" s="50"/>
      <c r="G19" s="48"/>
      <c r="H19" s="48"/>
      <c r="I19" s="48"/>
      <c r="J19" s="48"/>
      <c r="K19" s="48"/>
      <c r="L19" s="48"/>
      <c r="M19" s="49"/>
      <c r="N19" s="50"/>
      <c r="O19" s="48"/>
      <c r="P19" s="48"/>
      <c r="Q19" s="48"/>
      <c r="R19" s="48"/>
    </row>
    <row r="20" customFormat="false" ht="15" hidden="false" customHeight="false" outlineLevel="0" collapsed="false">
      <c r="A20" s="48"/>
      <c r="B20" s="48"/>
      <c r="C20" s="48"/>
      <c r="D20" s="49"/>
      <c r="E20" s="49"/>
      <c r="F20" s="50"/>
      <c r="G20" s="48"/>
      <c r="H20" s="48"/>
      <c r="I20" s="48"/>
      <c r="J20" s="48"/>
      <c r="K20" s="48"/>
      <c r="L20" s="48"/>
      <c r="M20" s="49"/>
      <c r="N20" s="50"/>
      <c r="O20" s="48"/>
      <c r="P20" s="48"/>
      <c r="Q20" s="48"/>
      <c r="R20" s="48"/>
    </row>
    <row r="21" customFormat="false" ht="15" hidden="false" customHeight="false" outlineLevel="0" collapsed="false">
      <c r="A21" s="48"/>
      <c r="B21" s="48"/>
      <c r="C21" s="48"/>
      <c r="D21" s="49"/>
      <c r="E21" s="49"/>
      <c r="F21" s="50"/>
      <c r="G21" s="48"/>
      <c r="H21" s="48"/>
      <c r="I21" s="48"/>
      <c r="J21" s="48"/>
      <c r="K21" s="48"/>
      <c r="L21" s="48"/>
      <c r="M21" s="49"/>
      <c r="N21" s="50"/>
      <c r="O21" s="48"/>
      <c r="P21" s="48"/>
      <c r="Q21" s="48"/>
      <c r="R21" s="48"/>
    </row>
    <row r="22" customFormat="false" ht="15" hidden="false" customHeight="false" outlineLevel="0" collapsed="false">
      <c r="A22" s="48"/>
      <c r="B22" s="48"/>
      <c r="C22" s="48"/>
      <c r="D22" s="49"/>
      <c r="E22" s="49"/>
      <c r="F22" s="50"/>
      <c r="G22" s="48"/>
      <c r="H22" s="48"/>
      <c r="I22" s="48"/>
      <c r="J22" s="48"/>
      <c r="K22" s="48"/>
      <c r="L22" s="48"/>
      <c r="M22" s="49"/>
      <c r="N22" s="50"/>
      <c r="O22" s="48"/>
      <c r="P22" s="48"/>
      <c r="Q22" s="48"/>
      <c r="R22" s="48"/>
    </row>
    <row r="23" customFormat="false" ht="15" hidden="false" customHeight="false" outlineLevel="0" collapsed="false">
      <c r="A23" s="48"/>
      <c r="B23" s="48"/>
      <c r="C23" s="48"/>
      <c r="D23" s="49"/>
      <c r="E23" s="49"/>
      <c r="F23" s="50"/>
      <c r="G23" s="48"/>
      <c r="H23" s="48"/>
      <c r="I23" s="48"/>
      <c r="J23" s="48"/>
      <c r="K23" s="48"/>
      <c r="L23" s="48"/>
      <c r="M23" s="49"/>
      <c r="N23" s="50"/>
      <c r="O23" s="48"/>
      <c r="P23" s="48"/>
      <c r="Q23" s="48"/>
      <c r="R23" s="48"/>
    </row>
    <row r="24" customFormat="false" ht="15" hidden="false" customHeight="false" outlineLevel="0" collapsed="false">
      <c r="A24" s="48"/>
      <c r="B24" s="48"/>
      <c r="C24" s="48"/>
      <c r="D24" s="49"/>
      <c r="E24" s="49"/>
      <c r="F24" s="50"/>
      <c r="G24" s="48"/>
      <c r="H24" s="48"/>
      <c r="I24" s="48"/>
      <c r="J24" s="48"/>
      <c r="K24" s="48"/>
      <c r="L24" s="48"/>
      <c r="M24" s="49"/>
      <c r="N24" s="50"/>
      <c r="O24" s="48"/>
      <c r="P24" s="48"/>
      <c r="Q24" s="48"/>
      <c r="R24" s="48"/>
    </row>
    <row r="25" customFormat="false" ht="15" hidden="false" customHeight="false" outlineLevel="0" collapsed="false">
      <c r="A25" s="48"/>
      <c r="B25" s="48"/>
      <c r="C25" s="48"/>
      <c r="D25" s="49"/>
      <c r="E25" s="49"/>
      <c r="F25" s="50"/>
      <c r="G25" s="48"/>
      <c r="H25" s="48"/>
      <c r="I25" s="48"/>
      <c r="J25" s="48"/>
      <c r="K25" s="48"/>
      <c r="L25" s="48"/>
      <c r="M25" s="49"/>
      <c r="N25" s="50"/>
      <c r="O25" s="48"/>
      <c r="P25" s="48"/>
      <c r="Q25" s="48"/>
      <c r="R25" s="48"/>
    </row>
    <row r="26" customFormat="false" ht="15" hidden="false" customHeight="false" outlineLevel="0" collapsed="false">
      <c r="A26" s="48"/>
      <c r="B26" s="48"/>
      <c r="C26" s="48"/>
      <c r="D26" s="49"/>
      <c r="E26" s="49"/>
      <c r="F26" s="50"/>
      <c r="G26" s="48"/>
      <c r="H26" s="48"/>
      <c r="I26" s="48"/>
      <c r="J26" s="48"/>
      <c r="K26" s="48"/>
      <c r="L26" s="48"/>
      <c r="M26" s="49"/>
      <c r="N26" s="50"/>
      <c r="O26" s="48"/>
      <c r="P26" s="48"/>
      <c r="Q26" s="48"/>
      <c r="R26" s="48"/>
    </row>
    <row r="27" customFormat="false" ht="15" hidden="false" customHeight="false" outlineLevel="0" collapsed="false">
      <c r="A27" s="48"/>
      <c r="B27" s="48"/>
      <c r="C27" s="48"/>
      <c r="D27" s="49"/>
      <c r="E27" s="49"/>
      <c r="F27" s="50"/>
      <c r="G27" s="48"/>
      <c r="H27" s="48"/>
      <c r="I27" s="48"/>
      <c r="J27" s="48"/>
      <c r="K27" s="48"/>
      <c r="L27" s="48"/>
      <c r="M27" s="49"/>
      <c r="N27" s="50"/>
      <c r="O27" s="48"/>
      <c r="P27" s="48"/>
      <c r="Q27" s="48"/>
      <c r="R27" s="48"/>
    </row>
    <row r="28" customFormat="false" ht="15" hidden="false" customHeight="false" outlineLevel="0" collapsed="false">
      <c r="A28" s="48"/>
      <c r="B28" s="48"/>
      <c r="C28" s="48"/>
      <c r="D28" s="49"/>
      <c r="E28" s="49"/>
      <c r="F28" s="50"/>
      <c r="G28" s="48"/>
      <c r="H28" s="48"/>
      <c r="I28" s="48"/>
      <c r="J28" s="48"/>
      <c r="K28" s="48"/>
      <c r="L28" s="48"/>
      <c r="M28" s="49"/>
      <c r="N28" s="50"/>
      <c r="O28" s="48"/>
      <c r="P28" s="48"/>
      <c r="Q28" s="48"/>
      <c r="R28" s="48"/>
    </row>
    <row r="29" customFormat="false" ht="15" hidden="false" customHeight="false" outlineLevel="0" collapsed="false">
      <c r="A29" s="48"/>
      <c r="B29" s="48"/>
      <c r="C29" s="48"/>
      <c r="D29" s="49"/>
      <c r="E29" s="49"/>
      <c r="F29" s="50"/>
      <c r="G29" s="48"/>
      <c r="H29" s="48"/>
      <c r="I29" s="48"/>
      <c r="J29" s="48"/>
      <c r="K29" s="48"/>
      <c r="L29" s="48"/>
      <c r="M29" s="49"/>
      <c r="N29" s="50"/>
      <c r="O29" s="48"/>
      <c r="P29" s="48"/>
      <c r="Q29" s="48"/>
      <c r="R29" s="48"/>
    </row>
    <row r="30" customFormat="false" ht="15" hidden="false" customHeight="false" outlineLevel="0" collapsed="false">
      <c r="A30" s="48"/>
      <c r="B30" s="48"/>
      <c r="C30" s="48"/>
      <c r="D30" s="49"/>
      <c r="E30" s="49"/>
      <c r="F30" s="50"/>
      <c r="G30" s="48"/>
      <c r="H30" s="48"/>
      <c r="I30" s="48"/>
      <c r="J30" s="48"/>
      <c r="K30" s="48"/>
      <c r="L30" s="48"/>
      <c r="M30" s="49"/>
      <c r="N30" s="50"/>
      <c r="O30" s="48"/>
      <c r="P30" s="48"/>
      <c r="Q30" s="48"/>
      <c r="R30" s="48"/>
    </row>
  </sheetData>
  <autoFilter ref="A4:R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19.7" hidden="false" customHeight="false" outlineLevel="0" collapsed="false">
      <c r="A1" s="1" t="s">
        <v>256</v>
      </c>
    </row>
    <row r="2" customFormat="false" ht="15" hidden="false" customHeight="false" outlineLevel="0" collapsed="false">
      <c r="A2" s="2" t="s">
        <v>257</v>
      </c>
    </row>
    <row r="3" customFormat="false" ht="15" hidden="false" customHeight="false" outlineLevel="0" collapsed="false">
      <c r="A3" s="8" t="s">
        <v>258</v>
      </c>
      <c r="B3" s="8" t="s">
        <v>13</v>
      </c>
      <c r="C3" s="8" t="s">
        <v>259</v>
      </c>
    </row>
    <row r="4" customFormat="false" ht="15" hidden="false" customHeight="false" outlineLevel="0" collapsed="false">
      <c r="A4" s="9" t="s">
        <v>260</v>
      </c>
      <c r="B4" s="39" t="n">
        <v>0.22</v>
      </c>
      <c r="C4" s="51" t="s">
        <v>261</v>
      </c>
    </row>
    <row r="5" customFormat="false" ht="15" hidden="false" customHeight="false" outlineLevel="0" collapsed="false">
      <c r="A5" s="9" t="s">
        <v>198</v>
      </c>
      <c r="B5" s="39" t="n">
        <v>0.12</v>
      </c>
      <c r="C5" s="51" t="s">
        <v>262</v>
      </c>
    </row>
    <row r="6" customFormat="false" ht="15" hidden="false" customHeight="false" outlineLevel="0" collapsed="false">
      <c r="A6" s="9" t="s">
        <v>263</v>
      </c>
      <c r="B6" s="39" t="n">
        <v>0.03</v>
      </c>
      <c r="C6" s="51" t="s">
        <v>264</v>
      </c>
    </row>
    <row r="7" customFormat="false" ht="15" hidden="false" customHeight="false" outlineLevel="0" collapsed="false">
      <c r="A7" s="9" t="s">
        <v>265</v>
      </c>
      <c r="B7" s="39" t="n">
        <v>0.065</v>
      </c>
      <c r="C7" s="51" t="s">
        <v>266</v>
      </c>
    </row>
    <row r="8" customFormat="false" ht="15" hidden="false" customHeight="false" outlineLevel="0" collapsed="false">
      <c r="A8" s="9" t="s">
        <v>267</v>
      </c>
      <c r="B8" s="39" t="n">
        <v>0.055</v>
      </c>
      <c r="C8" s="51" t="s">
        <v>268</v>
      </c>
    </row>
    <row r="9" customFormat="false" ht="15" hidden="false" customHeight="false" outlineLevel="0" collapsed="false">
      <c r="A9" s="9" t="s">
        <v>269</v>
      </c>
      <c r="B9" s="39" t="n">
        <v>0.3</v>
      </c>
      <c r="C9" s="51" t="s">
        <v>270</v>
      </c>
    </row>
    <row r="10" customFormat="false" ht="15" hidden="false" customHeight="false" outlineLevel="0" collapsed="false">
      <c r="A10" s="9" t="s">
        <v>271</v>
      </c>
      <c r="B10" s="39" t="n">
        <v>0.1</v>
      </c>
      <c r="C10" s="51" t="s">
        <v>272</v>
      </c>
    </row>
    <row r="12" customFormat="false" ht="15" hidden="false" customHeight="false" outlineLevel="0" collapsed="false">
      <c r="A12" s="14" t="s">
        <v>273</v>
      </c>
    </row>
    <row r="13" customFormat="false" ht="15" hidden="false" customHeight="false" outlineLevel="0" collapsed="false">
      <c r="A13" s="14" t="s">
        <v>274</v>
      </c>
    </row>
    <row r="14" customFormat="false" ht="15" hidden="false" customHeight="false" outlineLevel="0" collapsed="false">
      <c r="A14" s="14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20"/>
    <col collapsed="false" customWidth="true" hidden="false" outlineLevel="0" max="8" min="5" style="0" width="11"/>
    <col collapsed="false" customWidth="true" hidden="false" outlineLevel="0" max="9" min="9" style="0" width="1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7" min="14" style="0" width="11"/>
    <col collapsed="false" customWidth="true" hidden="false" outlineLevel="0" max="18" min="18" style="0" width="16"/>
    <col collapsed="false" customWidth="true" hidden="false" outlineLevel="0" max="19" min="19" style="0" width="15"/>
    <col collapsed="false" customWidth="true" hidden="false" outlineLevel="0" max="21" min="20" style="0" width="11"/>
    <col collapsed="false" customWidth="true" hidden="false" outlineLevel="0" max="22" min="22" style="0" width="19"/>
    <col collapsed="false" customWidth="true" hidden="false" outlineLevel="0" max="23" min="23" style="0" width="17"/>
    <col collapsed="false" customWidth="true" hidden="false" outlineLevel="0" max="24" min="24" style="0" width="11"/>
    <col collapsed="false" customWidth="true" hidden="false" outlineLevel="0" max="25" min="25" style="0" width="12"/>
  </cols>
  <sheetData>
    <row r="1" customFormat="false" ht="15" hidden="false" customHeight="false" outlineLevel="0" collapsed="false">
      <c r="A1" s="52" t="s">
        <v>27</v>
      </c>
      <c r="B1" s="52" t="s">
        <v>28</v>
      </c>
      <c r="C1" s="52" t="s">
        <v>276</v>
      </c>
      <c r="D1" s="52" t="s">
        <v>277</v>
      </c>
      <c r="E1" s="52" t="s">
        <v>278</v>
      </c>
      <c r="F1" s="52" t="s">
        <v>31</v>
      </c>
      <c r="G1" s="52" t="s">
        <v>279</v>
      </c>
      <c r="H1" s="52" t="s">
        <v>280</v>
      </c>
      <c r="I1" s="52" t="s">
        <v>281</v>
      </c>
      <c r="J1" s="52" t="s">
        <v>282</v>
      </c>
      <c r="K1" s="52" t="s">
        <v>283</v>
      </c>
      <c r="L1" s="52" t="s">
        <v>284</v>
      </c>
      <c r="M1" s="52" t="s">
        <v>285</v>
      </c>
      <c r="N1" s="52" t="s">
        <v>286</v>
      </c>
      <c r="O1" s="52" t="s">
        <v>287</v>
      </c>
      <c r="P1" s="52" t="s">
        <v>288</v>
      </c>
      <c r="Q1" s="52" t="s">
        <v>289</v>
      </c>
      <c r="R1" s="52" t="s">
        <v>290</v>
      </c>
      <c r="S1" s="52" t="s">
        <v>291</v>
      </c>
      <c r="T1" s="52" t="s">
        <v>292</v>
      </c>
      <c r="U1" s="52" t="s">
        <v>293</v>
      </c>
      <c r="V1" s="52" t="s">
        <v>294</v>
      </c>
      <c r="W1" s="52" t="s">
        <v>295</v>
      </c>
      <c r="X1" s="52" t="s">
        <v>296</v>
      </c>
      <c r="Y1" s="52" t="s">
        <v>297</v>
      </c>
    </row>
    <row r="2" customFormat="false" ht="15" hidden="false" customHeight="false" outlineLevel="0" collapsed="false">
      <c r="A2" s="0" t="s">
        <v>44</v>
      </c>
      <c r="B2" s="0" t="s">
        <v>246</v>
      </c>
      <c r="C2" s="0" t="s">
        <v>298</v>
      </c>
      <c r="D2" s="0" t="n">
        <v>1924688333</v>
      </c>
      <c r="E2" s="0" t="s">
        <v>299</v>
      </c>
      <c r="F2" s="0" t="n">
        <v>7325</v>
      </c>
      <c r="G2" s="0" t="n">
        <v>948300</v>
      </c>
      <c r="H2" s="0" t="n">
        <v>175</v>
      </c>
      <c r="I2" s="0" t="n">
        <v>2.4475524</v>
      </c>
      <c r="J2" s="0" t="n">
        <v>7150</v>
      </c>
      <c r="K2" s="0" t="n">
        <v>7325</v>
      </c>
      <c r="L2" s="0" t="n">
        <v>7325</v>
      </c>
      <c r="M2" s="0" t="n">
        <v>7150</v>
      </c>
      <c r="N2" s="0" t="n">
        <v>7150</v>
      </c>
      <c r="T2" s="0" t="n">
        <v>9000</v>
      </c>
      <c r="U2" s="0" t="n">
        <v>5825</v>
      </c>
      <c r="V2" s="0" t="n">
        <v>-0.186111111111111</v>
      </c>
      <c r="W2" s="0" t="n">
        <v>0.0732600732600732</v>
      </c>
      <c r="X2" s="0" t="s">
        <v>300</v>
      </c>
      <c r="Y2" s="0" t="s">
        <v>301</v>
      </c>
    </row>
    <row r="3" customFormat="false" ht="15" hidden="false" customHeight="false" outlineLevel="0" collapsed="false">
      <c r="A3" s="0" t="s">
        <v>79</v>
      </c>
      <c r="B3" s="0" t="s">
        <v>302</v>
      </c>
      <c r="C3" s="0" t="s">
        <v>303</v>
      </c>
      <c r="D3" s="0" t="n">
        <v>3935892857</v>
      </c>
      <c r="E3" s="0" t="s">
        <v>304</v>
      </c>
      <c r="F3" s="0" t="n">
        <v>30</v>
      </c>
      <c r="G3" s="0" t="n">
        <v>153000</v>
      </c>
      <c r="H3" s="0" t="n">
        <v>0</v>
      </c>
      <c r="I3" s="0" t="n">
        <v>0</v>
      </c>
      <c r="J3" s="0" t="n">
        <v>30</v>
      </c>
      <c r="K3" s="0" t="n">
        <v>30</v>
      </c>
      <c r="L3" s="0" t="n">
        <v>30</v>
      </c>
      <c r="M3" s="0" t="n">
        <v>30</v>
      </c>
      <c r="N3" s="0" t="n">
        <v>30</v>
      </c>
      <c r="T3" s="0" t="n">
        <v>97</v>
      </c>
      <c r="U3" s="0" t="n">
        <v>29</v>
      </c>
      <c r="V3" s="0" t="n">
        <v>-0.690721649484536</v>
      </c>
      <c r="W3" s="0" t="n">
        <v>-0.189189189189189</v>
      </c>
      <c r="X3" s="0" t="s">
        <v>300</v>
      </c>
      <c r="Y3" s="0" t="s">
        <v>301</v>
      </c>
    </row>
    <row r="4" customFormat="false" ht="15" hidden="false" customHeight="false" outlineLevel="0" collapsed="false">
      <c r="A4" s="0" t="s">
        <v>47</v>
      </c>
      <c r="B4" s="0" t="s">
        <v>305</v>
      </c>
      <c r="C4" s="0" t="s">
        <v>306</v>
      </c>
      <c r="D4" s="0" t="n">
        <v>28800494200</v>
      </c>
      <c r="E4" s="0" t="s">
        <v>299</v>
      </c>
      <c r="F4" s="0" t="n">
        <v>2540</v>
      </c>
      <c r="G4" s="0" t="n">
        <v>14412400</v>
      </c>
      <c r="H4" s="0" t="n">
        <v>40</v>
      </c>
      <c r="I4" s="0" t="n">
        <v>1.6</v>
      </c>
      <c r="J4" s="0" t="n">
        <v>2500</v>
      </c>
      <c r="K4" s="0" t="n">
        <v>2540</v>
      </c>
      <c r="L4" s="0" t="n">
        <v>2540</v>
      </c>
      <c r="M4" s="0" t="n">
        <v>2500</v>
      </c>
      <c r="N4" s="0" t="n">
        <v>2500</v>
      </c>
      <c r="T4" s="0" t="n">
        <v>2700</v>
      </c>
      <c r="U4" s="0" t="n">
        <v>1625</v>
      </c>
      <c r="V4" s="0" t="n">
        <v>-0.0592592592592592</v>
      </c>
      <c r="W4" s="0" t="n">
        <v>0.358288770053476</v>
      </c>
      <c r="X4" s="0" t="s">
        <v>300</v>
      </c>
      <c r="Y4" s="0" t="s">
        <v>301</v>
      </c>
    </row>
    <row r="5" customFormat="false" ht="15" hidden="false" customHeight="false" outlineLevel="0" collapsed="false">
      <c r="A5" s="0" t="s">
        <v>49</v>
      </c>
      <c r="B5" s="0" t="s">
        <v>307</v>
      </c>
      <c r="C5" s="0" t="s">
        <v>308</v>
      </c>
      <c r="D5" s="0" t="n">
        <v>39920061040</v>
      </c>
      <c r="E5" s="0" t="s">
        <v>299</v>
      </c>
      <c r="F5" s="0" t="n">
        <v>5100</v>
      </c>
      <c r="G5" s="0" t="n">
        <v>34507300</v>
      </c>
      <c r="H5" s="0" t="n">
        <v>0</v>
      </c>
      <c r="I5" s="0" t="n">
        <v>0</v>
      </c>
      <c r="J5" s="0" t="n">
        <v>5100</v>
      </c>
      <c r="K5" s="0" t="n">
        <v>5100</v>
      </c>
      <c r="L5" s="0" t="n">
        <v>5175</v>
      </c>
      <c r="M5" s="0" t="n">
        <v>5050</v>
      </c>
      <c r="N5" s="0" t="n">
        <v>5025</v>
      </c>
      <c r="T5" s="0" t="n">
        <v>7475</v>
      </c>
      <c r="U5" s="0" t="n">
        <v>4350</v>
      </c>
      <c r="V5" s="0" t="n">
        <v>-0.317725752508361</v>
      </c>
      <c r="W5" s="0" t="n">
        <v>0.0282258064516129</v>
      </c>
      <c r="X5" s="0" t="s">
        <v>300</v>
      </c>
      <c r="Y5" s="0" t="s">
        <v>301</v>
      </c>
    </row>
    <row r="6" customFormat="false" ht="15" hidden="false" customHeight="false" outlineLevel="0" collapsed="false">
      <c r="A6" s="0" t="s">
        <v>80</v>
      </c>
      <c r="B6" s="0" t="s">
        <v>309</v>
      </c>
      <c r="C6" s="0" t="s">
        <v>310</v>
      </c>
      <c r="D6" s="0" t="n">
        <v>122841751300</v>
      </c>
      <c r="E6" s="0" t="s">
        <v>299</v>
      </c>
      <c r="F6" s="0" t="n">
        <v>6375</v>
      </c>
      <c r="G6" s="0" t="n">
        <v>111930800</v>
      </c>
      <c r="H6" s="0" t="n">
        <v>25</v>
      </c>
      <c r="I6" s="0" t="n">
        <v>0.3937008</v>
      </c>
      <c r="J6" s="0" t="n">
        <v>6350</v>
      </c>
      <c r="K6" s="0" t="n">
        <v>6375</v>
      </c>
      <c r="L6" s="0" t="n">
        <v>6450</v>
      </c>
      <c r="M6" s="0" t="n">
        <v>6375</v>
      </c>
      <c r="N6" s="0" t="n">
        <v>6325</v>
      </c>
      <c r="T6" s="0" t="n">
        <v>8975</v>
      </c>
      <c r="U6" s="0" t="n">
        <v>4820</v>
      </c>
      <c r="V6" s="0" t="n">
        <v>-0.289693593314763</v>
      </c>
      <c r="W6" s="0" t="n">
        <v>-0.231927710843374</v>
      </c>
      <c r="X6" s="0" t="s">
        <v>300</v>
      </c>
      <c r="Y6" s="0" t="s">
        <v>301</v>
      </c>
    </row>
    <row r="7" customFormat="false" ht="15" hidden="false" customHeight="false" outlineLevel="0" collapsed="false">
      <c r="A7" s="0" t="s">
        <v>81</v>
      </c>
      <c r="B7" s="0" t="s">
        <v>311</v>
      </c>
      <c r="C7" s="0" t="s">
        <v>312</v>
      </c>
      <c r="D7" s="0" t="n">
        <v>150574927703</v>
      </c>
      <c r="E7" s="0" t="s">
        <v>299</v>
      </c>
      <c r="F7" s="0" t="n">
        <v>3130</v>
      </c>
      <c r="G7" s="0" t="n">
        <v>349136300</v>
      </c>
      <c r="H7" s="0" t="n">
        <v>90</v>
      </c>
      <c r="I7" s="0" t="n">
        <v>2.9605264</v>
      </c>
      <c r="J7" s="0" t="n">
        <v>3040</v>
      </c>
      <c r="K7" s="0" t="n">
        <v>3130</v>
      </c>
      <c r="L7" s="0" t="n">
        <v>3130</v>
      </c>
      <c r="M7" s="0" t="n">
        <v>3050</v>
      </c>
      <c r="N7" s="0" t="n">
        <v>3040</v>
      </c>
      <c r="T7" s="0" t="n">
        <v>4270</v>
      </c>
      <c r="U7" s="0" t="n">
        <v>2540</v>
      </c>
      <c r="V7" s="0" t="n">
        <v>-0.266978922716628</v>
      </c>
      <c r="W7" s="0" t="n">
        <v>-0.15633423180593</v>
      </c>
      <c r="X7" s="0" t="s">
        <v>300</v>
      </c>
      <c r="Y7" s="0" t="s">
        <v>301</v>
      </c>
    </row>
    <row r="8" customFormat="false" ht="15" hidden="false" customHeight="false" outlineLevel="0" collapsed="false">
      <c r="A8" s="0" t="s">
        <v>38</v>
      </c>
      <c r="B8" s="0" t="s">
        <v>313</v>
      </c>
      <c r="C8" s="0" t="s">
        <v>314</v>
      </c>
      <c r="D8" s="0" t="n">
        <v>92487999999</v>
      </c>
      <c r="E8" s="0" t="s">
        <v>299</v>
      </c>
      <c r="F8" s="0" t="n">
        <v>4240</v>
      </c>
      <c r="G8" s="0" t="n">
        <v>110106100</v>
      </c>
      <c r="H8" s="0" t="n">
        <v>40</v>
      </c>
      <c r="I8" s="0" t="n">
        <v>0.952381</v>
      </c>
      <c r="J8" s="0" t="n">
        <v>4200</v>
      </c>
      <c r="K8" s="0" t="n">
        <v>4240</v>
      </c>
      <c r="L8" s="0" t="n">
        <v>4270</v>
      </c>
      <c r="M8" s="0" t="n">
        <v>4220</v>
      </c>
      <c r="N8" s="0" t="n">
        <v>4210</v>
      </c>
      <c r="T8" s="0" t="n">
        <v>5375</v>
      </c>
      <c r="U8" s="0" t="n">
        <v>3650</v>
      </c>
      <c r="V8" s="0" t="n">
        <v>-0.211162790697674</v>
      </c>
      <c r="W8" s="0" t="n">
        <v>-0.094017094017094</v>
      </c>
      <c r="X8" s="0" t="s">
        <v>300</v>
      </c>
      <c r="Y8" s="0" t="s">
        <v>301</v>
      </c>
    </row>
    <row r="9" customFormat="false" ht="15" hidden="false" customHeight="false" outlineLevel="0" collapsed="false">
      <c r="A9" s="0" t="s">
        <v>48</v>
      </c>
      <c r="B9" s="0" t="s">
        <v>315</v>
      </c>
      <c r="C9" s="0" t="s">
        <v>316</v>
      </c>
      <c r="D9" s="0" t="n">
        <v>1924088000</v>
      </c>
      <c r="E9" s="0" t="s">
        <v>299</v>
      </c>
      <c r="F9" s="0" t="n">
        <v>21725</v>
      </c>
      <c r="G9" s="0" t="n">
        <v>2861200</v>
      </c>
      <c r="H9" s="0" t="n">
        <v>1125</v>
      </c>
      <c r="I9" s="0" t="n">
        <v>5.461165</v>
      </c>
      <c r="J9" s="0" t="n">
        <v>20600</v>
      </c>
      <c r="K9" s="0" t="n">
        <v>21725</v>
      </c>
      <c r="L9" s="0" t="n">
        <v>21800</v>
      </c>
      <c r="M9" s="0" t="n">
        <v>20750</v>
      </c>
      <c r="N9" s="0" t="n">
        <v>20725</v>
      </c>
      <c r="T9" s="0" t="n">
        <v>21800</v>
      </c>
      <c r="U9" s="0" t="n">
        <v>8300</v>
      </c>
      <c r="V9" s="0" t="n">
        <v>-0.003440366972477</v>
      </c>
      <c r="W9" s="0" t="n">
        <v>1.47578347578348</v>
      </c>
      <c r="X9" s="0" t="s">
        <v>300</v>
      </c>
      <c r="Y9" s="0" t="s">
        <v>301</v>
      </c>
    </row>
    <row r="10" customFormat="false" ht="15" hidden="false" customHeight="false" outlineLevel="0" collapsed="false">
      <c r="A10" s="0" t="s">
        <v>45</v>
      </c>
      <c r="B10" s="0" t="s">
        <v>317</v>
      </c>
      <c r="C10" s="0" t="s">
        <v>318</v>
      </c>
      <c r="D10" s="0" t="n">
        <v>1114899100</v>
      </c>
      <c r="E10" s="0" t="s">
        <v>299</v>
      </c>
      <c r="F10" s="0" t="n">
        <v>25125</v>
      </c>
      <c r="G10" s="0" t="n">
        <v>1191200</v>
      </c>
      <c r="H10" s="0" t="n">
        <v>425</v>
      </c>
      <c r="I10" s="0" t="n">
        <v>1.7206477</v>
      </c>
      <c r="J10" s="0" t="n">
        <v>24700</v>
      </c>
      <c r="K10" s="0" t="n">
        <v>25125</v>
      </c>
      <c r="L10" s="0" t="n">
        <v>25150</v>
      </c>
      <c r="M10" s="0" t="n">
        <v>24700</v>
      </c>
      <c r="N10" s="0" t="n">
        <v>24650</v>
      </c>
      <c r="T10" s="0" t="n">
        <v>30700</v>
      </c>
      <c r="U10" s="0" t="n">
        <v>20900</v>
      </c>
      <c r="V10" s="0" t="n">
        <v>-0.181596091205212</v>
      </c>
      <c r="W10" s="0" t="n">
        <v>0.0864864864864864</v>
      </c>
      <c r="X10" s="0" t="s">
        <v>300</v>
      </c>
      <c r="Y10" s="0" t="s">
        <v>301</v>
      </c>
    </row>
    <row r="11" customFormat="false" ht="15" hidden="false" customHeight="false" outlineLevel="0" collapsed="false">
      <c r="A11" s="0" t="s">
        <v>46</v>
      </c>
      <c r="B11" s="0" t="s">
        <v>319</v>
      </c>
      <c r="C11" s="0" t="s">
        <v>320</v>
      </c>
      <c r="D11" s="0" t="n">
        <v>11514357245</v>
      </c>
      <c r="E11" s="0" t="s">
        <v>299</v>
      </c>
      <c r="F11" s="0" t="n">
        <v>2370</v>
      </c>
      <c r="G11" s="0" t="n">
        <v>9940400</v>
      </c>
      <c r="H11" s="0" t="n">
        <v>20</v>
      </c>
      <c r="I11" s="0" t="n">
        <v>0.8510638</v>
      </c>
      <c r="J11" s="0" t="n">
        <v>2350</v>
      </c>
      <c r="K11" s="0" t="n">
        <v>2370</v>
      </c>
      <c r="L11" s="0" t="n">
        <v>2370</v>
      </c>
      <c r="M11" s="0" t="n">
        <v>2360</v>
      </c>
      <c r="N11" s="0" t="n">
        <v>2350</v>
      </c>
      <c r="T11" s="0" t="n">
        <v>3220</v>
      </c>
      <c r="U11" s="0" t="n">
        <v>2170</v>
      </c>
      <c r="V11" s="0" t="n">
        <v>-0.263975155279503</v>
      </c>
      <c r="W11" s="0" t="n">
        <v>-0.0125</v>
      </c>
      <c r="X11" s="0" t="s">
        <v>300</v>
      </c>
      <c r="Y11" s="0" t="s">
        <v>301</v>
      </c>
    </row>
    <row r="12" customFormat="false" ht="15" hidden="false" customHeight="false" outlineLevel="0" collapsed="false">
      <c r="A12" s="0" t="s">
        <v>50</v>
      </c>
      <c r="B12" s="0" t="s">
        <v>321</v>
      </c>
      <c r="C12" s="0" t="s">
        <v>322</v>
      </c>
      <c r="D12" s="0" t="n">
        <v>98580940799</v>
      </c>
      <c r="E12" s="0" t="s">
        <v>299</v>
      </c>
      <c r="F12" s="0" t="n">
        <v>2710</v>
      </c>
      <c r="G12" s="0" t="n">
        <v>66412400</v>
      </c>
      <c r="H12" s="0" t="n">
        <v>60</v>
      </c>
      <c r="I12" s="0" t="n">
        <v>2.2641512</v>
      </c>
      <c r="J12" s="0" t="n">
        <v>2650</v>
      </c>
      <c r="K12" s="0" t="n">
        <v>2710</v>
      </c>
      <c r="L12" s="0" t="n">
        <v>2720</v>
      </c>
      <c r="M12" s="0" t="n">
        <v>2650</v>
      </c>
      <c r="N12" s="0" t="n">
        <v>2650</v>
      </c>
      <c r="T12" s="0" t="n">
        <v>3990</v>
      </c>
      <c r="U12" s="0" t="n">
        <v>2350</v>
      </c>
      <c r="V12" s="0" t="n">
        <v>-0.320802005012531</v>
      </c>
      <c r="W12" s="0" t="n">
        <v>-0.0813559322033898</v>
      </c>
      <c r="X12" s="0" t="s">
        <v>300</v>
      </c>
      <c r="Y12" s="0" t="s">
        <v>301</v>
      </c>
    </row>
    <row r="13" customFormat="false" ht="15" hidden="false" customHeight="false" outlineLevel="0" collapsed="false">
      <c r="A13" s="0" t="s">
        <v>51</v>
      </c>
      <c r="B13" s="0" t="s">
        <v>323</v>
      </c>
      <c r="C13" s="0" t="s">
        <v>324</v>
      </c>
      <c r="D13" s="0" t="n">
        <v>37981233300</v>
      </c>
      <c r="E13" s="0" t="s">
        <v>299</v>
      </c>
      <c r="F13" s="0" t="n">
        <v>1820</v>
      </c>
      <c r="G13" s="0" t="n">
        <v>12769600</v>
      </c>
      <c r="H13" s="0" t="n">
        <v>15</v>
      </c>
      <c r="I13" s="0" t="n">
        <v>0.8310249</v>
      </c>
      <c r="J13" s="0" t="n">
        <v>1805</v>
      </c>
      <c r="K13" s="0" t="n">
        <v>1820</v>
      </c>
      <c r="L13" s="0" t="n">
        <v>1825</v>
      </c>
      <c r="M13" s="0" t="n">
        <v>1805</v>
      </c>
      <c r="N13" s="0" t="n">
        <v>1800</v>
      </c>
      <c r="T13" s="0" t="n">
        <v>2840</v>
      </c>
      <c r="U13" s="0" t="n">
        <v>1485</v>
      </c>
      <c r="V13" s="0" t="n">
        <v>-0.359154929577465</v>
      </c>
      <c r="W13" s="0" t="n">
        <v>0.0311614730878186</v>
      </c>
      <c r="X13" s="0" t="s">
        <v>300</v>
      </c>
      <c r="Y13" s="0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1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22"/>
    <col collapsed="false" customWidth="true" hidden="false" outlineLevel="0" max="8" min="7" style="0" width="29"/>
    <col collapsed="false" customWidth="true" hidden="false" outlineLevel="0" max="9" min="9" style="0" width="33"/>
    <col collapsed="false" customWidth="true" hidden="false" outlineLevel="0" max="10" min="10" style="0" width="34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3" min="13" style="0" width="11"/>
    <col collapsed="false" customWidth="true" hidden="false" outlineLevel="0" max="14" min="14" style="0" width="17"/>
    <col collapsed="false" customWidth="true" hidden="false" outlineLevel="0" max="15" min="15" style="0" width="15"/>
    <col collapsed="false" customWidth="true" hidden="false" outlineLevel="0" max="16" min="16" style="0" width="19"/>
    <col collapsed="false" customWidth="true" hidden="false" outlineLevel="0" max="17" min="17" style="0" width="26"/>
    <col collapsed="false" customWidth="true" hidden="false" outlineLevel="0" max="18" min="18" style="0" width="25"/>
    <col collapsed="false" customWidth="true" hidden="false" outlineLevel="0" max="19" min="19" style="0" width="26"/>
    <col collapsed="false" customWidth="true" hidden="false" outlineLevel="0" max="20" min="20" style="0" width="30"/>
    <col collapsed="false" customWidth="true" hidden="false" outlineLevel="0" max="21" min="21" style="0" width="31"/>
    <col collapsed="false" customWidth="true" hidden="false" outlineLevel="0" max="22" min="22" style="0" width="25"/>
    <col collapsed="false" customWidth="true" hidden="false" outlineLevel="0" max="23" min="23" style="0" width="23"/>
    <col collapsed="false" customWidth="true" hidden="false" outlineLevel="0" max="24" min="24" style="0" width="32"/>
    <col collapsed="false" customWidth="true" hidden="false" outlineLevel="0" max="25" min="25" style="0" width="26"/>
    <col collapsed="false" customWidth="true" hidden="false" outlineLevel="0" max="27" min="26" style="0" width="34"/>
    <col collapsed="false" customWidth="true" hidden="false" outlineLevel="0" max="28" min="28" style="0" width="30"/>
    <col collapsed="false" customWidth="true" hidden="false" outlineLevel="0" max="29" min="29" style="0" width="25"/>
    <col collapsed="false" customWidth="true" hidden="false" outlineLevel="0" max="30" min="30" style="0" width="26"/>
    <col collapsed="false" customWidth="true" hidden="false" outlineLevel="0" max="31" min="31" style="0" width="27"/>
    <col collapsed="false" customWidth="true" hidden="false" outlineLevel="0" max="33" min="32" style="0" width="24"/>
    <col collapsed="false" customWidth="true" hidden="false" outlineLevel="0" max="36" min="34" style="0" width="34"/>
    <col collapsed="false" customWidth="true" hidden="false" outlineLevel="0" max="37" min="37" style="0" width="26"/>
    <col collapsed="false" customWidth="true" hidden="false" outlineLevel="0" max="38" min="38" style="0" width="34"/>
    <col collapsed="false" customWidth="true" hidden="false" outlineLevel="0" max="39" min="39" style="0" width="33"/>
    <col collapsed="false" customWidth="true" hidden="false" outlineLevel="0" max="40" min="40" style="0" width="32"/>
    <col collapsed="false" customWidth="true" hidden="false" outlineLevel="0" max="41" min="41" style="0" width="22"/>
    <col collapsed="false" customWidth="true" hidden="false" outlineLevel="0" max="42" min="42" style="0" width="26"/>
    <col collapsed="false" customWidth="true" hidden="false" outlineLevel="0" max="43" min="43" style="0" width="31"/>
    <col collapsed="false" customWidth="true" hidden="false" outlineLevel="0" max="44" min="44" style="0" width="34"/>
    <col collapsed="false" customWidth="true" hidden="false" outlineLevel="0" max="45" min="45" style="0" width="29"/>
    <col collapsed="false" customWidth="true" hidden="false" outlineLevel="0" max="46" min="46" style="0" width="30"/>
    <col collapsed="false" customWidth="true" hidden="false" outlineLevel="0" max="47" min="47" style="0" width="34"/>
    <col collapsed="false" customWidth="true" hidden="false" outlineLevel="0" max="48" min="48" style="0" width="33"/>
    <col collapsed="false" customWidth="true" hidden="false" outlineLevel="0" max="49" min="49" style="0" width="11"/>
    <col collapsed="false" customWidth="true" hidden="false" outlineLevel="0" max="50" min="50" style="0" width="16"/>
    <col collapsed="false" customWidth="true" hidden="false" outlineLevel="0" max="51" min="51" style="0" width="14"/>
    <col collapsed="false" customWidth="true" hidden="false" outlineLevel="0" max="52" min="52" style="0" width="16"/>
    <col collapsed="false" customWidth="true" hidden="false" outlineLevel="0" max="53" min="53" style="0" width="25"/>
    <col collapsed="false" customWidth="true" hidden="false" outlineLevel="0" max="54" min="54" style="0" width="19"/>
    <col collapsed="false" customWidth="true" hidden="false" outlineLevel="0" max="55" min="55" style="0" width="12"/>
    <col collapsed="false" customWidth="true" hidden="false" outlineLevel="0" max="56" min="56" style="0" width="26"/>
    <col collapsed="false" customWidth="true" hidden="false" outlineLevel="0" max="57" min="57" style="0" width="19"/>
    <col collapsed="false" customWidth="true" hidden="false" outlineLevel="0" max="58" min="58" style="0" width="29"/>
    <col collapsed="false" customWidth="true" hidden="false" outlineLevel="0" max="59" min="59" style="0" width="23"/>
    <col collapsed="false" customWidth="true" hidden="false" outlineLevel="0" max="61" min="60" style="0" width="12"/>
    <col collapsed="false" customWidth="true" hidden="false" outlineLevel="0" max="62" min="62" style="0" width="27"/>
    <col collapsed="false" customWidth="true" hidden="false" outlineLevel="0" max="63" min="63" style="0" width="15"/>
    <col collapsed="false" customWidth="true" hidden="false" outlineLevel="0" max="64" min="64" style="0" width="20"/>
    <col collapsed="false" customWidth="true" hidden="false" outlineLevel="0" max="65" min="65" style="0" width="14"/>
    <col collapsed="false" customWidth="true" hidden="false" outlineLevel="0" max="66" min="66" style="0" width="18"/>
    <col collapsed="false" customWidth="true" hidden="false" outlineLevel="0" max="67" min="67" style="0" width="16"/>
    <col collapsed="false" customWidth="true" hidden="false" outlineLevel="0" max="68" min="68" style="0" width="24"/>
    <col collapsed="false" customWidth="true" hidden="false" outlineLevel="0" max="69" min="69" style="0" width="29"/>
    <col collapsed="false" customWidth="true" hidden="false" outlineLevel="0" max="70" min="70" style="0" width="27"/>
    <col collapsed="false" customWidth="true" hidden="false" outlineLevel="0" max="71" min="71" style="0" width="12"/>
    <col collapsed="false" customWidth="true" hidden="false" outlineLevel="0" max="72" min="72" style="0" width="18"/>
    <col collapsed="false" customWidth="true" hidden="false" outlineLevel="0" max="73" min="73" style="0" width="27"/>
    <col collapsed="false" customWidth="true" hidden="false" outlineLevel="0" max="74" min="74" style="0" width="14"/>
    <col collapsed="false" customWidth="true" hidden="false" outlineLevel="0" max="75" min="75" style="0" width="22"/>
    <col collapsed="false" customWidth="true" hidden="false" outlineLevel="0" max="76" min="76" style="0" width="20"/>
    <col collapsed="false" customWidth="true" hidden="false" outlineLevel="0" max="77" min="77" style="0" width="26"/>
    <col collapsed="false" customWidth="true" hidden="false" outlineLevel="0" max="78" min="78" style="0" width="31"/>
    <col collapsed="false" customWidth="true" hidden="false" outlineLevel="0" max="79" min="79" style="0" width="12"/>
    <col collapsed="false" customWidth="true" hidden="false" outlineLevel="0" max="81" min="80" style="0" width="27"/>
    <col collapsed="false" customWidth="true" hidden="false" outlineLevel="0" max="82" min="82" style="0" width="22"/>
    <col collapsed="false" customWidth="true" hidden="false" outlineLevel="0" max="83" min="83" style="0" width="21"/>
    <col collapsed="false" customWidth="true" hidden="false" outlineLevel="0" max="84" min="84" style="0" width="29"/>
    <col collapsed="false" customWidth="true" hidden="false" outlineLevel="0" max="85" min="85" style="0" width="11"/>
    <col collapsed="false" customWidth="true" hidden="false" outlineLevel="0" max="86" min="86" style="0" width="34"/>
    <col collapsed="false" customWidth="true" hidden="false" outlineLevel="0" max="87" min="87" style="0" width="16"/>
    <col collapsed="false" customWidth="true" hidden="false" outlineLevel="0" max="88" min="88" style="0" width="30"/>
    <col collapsed="false" customWidth="true" hidden="false" outlineLevel="0" max="89" min="89" style="0" width="17"/>
    <col collapsed="false" customWidth="true" hidden="false" outlineLevel="0" max="90" min="90" style="0" width="11"/>
    <col collapsed="false" customWidth="true" hidden="false" outlineLevel="0" max="91" min="91" style="0" width="16"/>
    <col collapsed="false" customWidth="true" hidden="false" outlineLevel="0" max="92" min="92" style="0" width="14"/>
    <col collapsed="false" customWidth="true" hidden="false" outlineLevel="0" max="93" min="93" style="0" width="22"/>
    <col collapsed="false" customWidth="true" hidden="false" outlineLevel="0" max="94" min="94" style="0" width="24"/>
    <col collapsed="false" customWidth="true" hidden="false" outlineLevel="0" max="95" min="95" style="0" width="26"/>
    <col collapsed="false" customWidth="true" hidden="false" outlineLevel="0" max="96" min="96" style="0" width="15"/>
    <col collapsed="false" customWidth="true" hidden="false" outlineLevel="0" max="98" min="97" style="0" width="17"/>
    <col collapsed="false" customWidth="true" hidden="false" outlineLevel="0" max="99" min="99" style="0" width="13"/>
    <col collapsed="false" customWidth="true" hidden="false" outlineLevel="0" max="100" min="100" style="0" width="20"/>
    <col collapsed="false" customWidth="true" hidden="false" outlineLevel="0" max="101" min="101" style="0" width="21"/>
    <col collapsed="false" customWidth="true" hidden="false" outlineLevel="0" max="102" min="102" style="0" width="20"/>
    <col collapsed="false" customWidth="true" hidden="false" outlineLevel="0" max="103" min="103" style="0" width="12"/>
    <col collapsed="false" customWidth="true" hidden="false" outlineLevel="0" max="104" min="104" style="0" width="23"/>
    <col collapsed="false" customWidth="true" hidden="false" outlineLevel="0" max="105" min="105" style="0" width="21"/>
    <col collapsed="false" customWidth="true" hidden="false" outlineLevel="0" max="106" min="106" style="0" width="25"/>
    <col collapsed="false" customWidth="true" hidden="false" outlineLevel="0" max="108" min="107" style="0" width="17"/>
    <col collapsed="false" customWidth="true" hidden="false" outlineLevel="0" max="109" min="109" style="0" width="18"/>
    <col collapsed="false" customWidth="true" hidden="false" outlineLevel="0" max="110" min="110" style="0" width="13"/>
    <col collapsed="false" customWidth="true" hidden="false" outlineLevel="0" max="111" min="111" style="0" width="21"/>
    <col collapsed="false" customWidth="true" hidden="false" outlineLevel="0" max="112" min="112" style="0" width="28"/>
    <col collapsed="false" customWidth="true" hidden="false" outlineLevel="0" max="113" min="113" style="0" width="16"/>
    <col collapsed="false" customWidth="true" hidden="false" outlineLevel="0" max="114" min="114" style="0" width="27"/>
    <col collapsed="false" customWidth="true" hidden="false" outlineLevel="0" max="115" min="115" style="0" width="29"/>
    <col collapsed="false" customWidth="true" hidden="false" outlineLevel="0" max="116" min="116" style="0" width="15"/>
    <col collapsed="false" customWidth="true" hidden="false" outlineLevel="0" max="118" min="117" style="0" width="11"/>
    <col collapsed="false" customWidth="true" hidden="false" outlineLevel="0" max="119" min="119" style="0" width="19"/>
    <col collapsed="false" customWidth="true" hidden="false" outlineLevel="0" max="120" min="120" style="0" width="17"/>
    <col collapsed="false" customWidth="true" hidden="false" outlineLevel="0" max="122" min="121" style="0" width="15"/>
    <col collapsed="false" customWidth="true" hidden="false" outlineLevel="0" max="123" min="123" style="0" width="22"/>
    <col collapsed="false" customWidth="true" hidden="false" outlineLevel="0" max="124" min="124" style="0" width="18"/>
    <col collapsed="false" customWidth="true" hidden="false" outlineLevel="0" max="125" min="125" style="0" width="25"/>
    <col collapsed="false" customWidth="true" hidden="false" outlineLevel="0" max="126" min="126" style="0" width="20"/>
    <col collapsed="false" customWidth="true" hidden="false" outlineLevel="0" max="127" min="127" style="0" width="16"/>
    <col collapsed="false" customWidth="true" hidden="false" outlineLevel="0" max="128" min="128" style="0" width="20"/>
    <col collapsed="false" customWidth="true" hidden="false" outlineLevel="0" max="129" min="129" style="0" width="17"/>
    <col collapsed="false" customWidth="true" hidden="false" outlineLevel="0" max="130" min="130" style="0" width="13"/>
    <col collapsed="false" customWidth="true" hidden="false" outlineLevel="0" max="131" min="131" style="0" width="12"/>
  </cols>
  <sheetData>
    <row r="1" customFormat="false" ht="15" hidden="false" customHeight="false" outlineLevel="0" collapsed="false">
      <c r="A1" s="52" t="s">
        <v>27</v>
      </c>
      <c r="B1" s="52" t="s">
        <v>325</v>
      </c>
      <c r="C1" s="52" t="s">
        <v>326</v>
      </c>
      <c r="D1" s="52" t="s">
        <v>327</v>
      </c>
      <c r="E1" s="52" t="s">
        <v>328</v>
      </c>
      <c r="F1" s="52" t="s">
        <v>329</v>
      </c>
      <c r="G1" s="52" t="s">
        <v>330</v>
      </c>
      <c r="H1" s="52" t="s">
        <v>331</v>
      </c>
      <c r="I1" s="52" t="s">
        <v>332</v>
      </c>
      <c r="J1" s="52" t="s">
        <v>333</v>
      </c>
      <c r="K1" s="52" t="s">
        <v>334</v>
      </c>
      <c r="L1" s="52" t="s">
        <v>335</v>
      </c>
      <c r="M1" s="52" t="s">
        <v>336</v>
      </c>
      <c r="N1" s="52" t="s">
        <v>337</v>
      </c>
      <c r="O1" s="52" t="s">
        <v>338</v>
      </c>
      <c r="P1" s="52" t="s">
        <v>339</v>
      </c>
      <c r="Q1" s="52" t="s">
        <v>340</v>
      </c>
      <c r="R1" s="52" t="s">
        <v>341</v>
      </c>
      <c r="S1" s="52" t="s">
        <v>342</v>
      </c>
      <c r="T1" s="52" t="s">
        <v>343</v>
      </c>
      <c r="U1" s="52" t="s">
        <v>344</v>
      </c>
      <c r="V1" s="52" t="s">
        <v>345</v>
      </c>
      <c r="W1" s="52" t="s">
        <v>346</v>
      </c>
      <c r="X1" s="52" t="s">
        <v>347</v>
      </c>
      <c r="Y1" s="52" t="s">
        <v>348</v>
      </c>
      <c r="Z1" s="52" t="s">
        <v>349</v>
      </c>
      <c r="AA1" s="52" t="s">
        <v>350</v>
      </c>
      <c r="AB1" s="52" t="s">
        <v>351</v>
      </c>
      <c r="AC1" s="52" t="s">
        <v>352</v>
      </c>
      <c r="AD1" s="52" t="s">
        <v>353</v>
      </c>
      <c r="AE1" s="52" t="s">
        <v>354</v>
      </c>
      <c r="AF1" s="52" t="s">
        <v>355</v>
      </c>
      <c r="AG1" s="52" t="s">
        <v>356</v>
      </c>
      <c r="AH1" s="52" t="s">
        <v>357</v>
      </c>
      <c r="AI1" s="52" t="s">
        <v>358</v>
      </c>
      <c r="AJ1" s="52" t="s">
        <v>359</v>
      </c>
      <c r="AK1" s="52" t="s">
        <v>360</v>
      </c>
      <c r="AL1" s="52" t="s">
        <v>361</v>
      </c>
      <c r="AM1" s="52" t="s">
        <v>362</v>
      </c>
      <c r="AN1" s="52" t="s">
        <v>363</v>
      </c>
      <c r="AO1" s="52" t="s">
        <v>364</v>
      </c>
      <c r="AP1" s="52" t="s">
        <v>365</v>
      </c>
      <c r="AQ1" s="52" t="s">
        <v>366</v>
      </c>
      <c r="AR1" s="52" t="s">
        <v>367</v>
      </c>
      <c r="AS1" s="52" t="s">
        <v>368</v>
      </c>
      <c r="AT1" s="52" t="s">
        <v>369</v>
      </c>
      <c r="AU1" s="52" t="s">
        <v>370</v>
      </c>
      <c r="AV1" s="52" t="s">
        <v>371</v>
      </c>
      <c r="AW1" s="52" t="s">
        <v>372</v>
      </c>
      <c r="AX1" s="52" t="s">
        <v>373</v>
      </c>
      <c r="AY1" s="52" t="s">
        <v>374</v>
      </c>
      <c r="AZ1" s="52" t="s">
        <v>375</v>
      </c>
      <c r="BA1" s="52" t="s">
        <v>376</v>
      </c>
      <c r="BB1" s="52" t="s">
        <v>377</v>
      </c>
      <c r="BC1" s="52" t="s">
        <v>378</v>
      </c>
      <c r="BD1" s="52" t="s">
        <v>379</v>
      </c>
      <c r="BE1" s="52" t="s">
        <v>380</v>
      </c>
      <c r="BF1" s="52" t="s">
        <v>381</v>
      </c>
      <c r="BG1" s="52" t="s">
        <v>382</v>
      </c>
      <c r="BH1" s="52" t="s">
        <v>383</v>
      </c>
      <c r="BI1" s="52" t="s">
        <v>384</v>
      </c>
      <c r="BJ1" s="52" t="s">
        <v>385</v>
      </c>
      <c r="BK1" s="52" t="s">
        <v>386</v>
      </c>
      <c r="BL1" s="52" t="s">
        <v>387</v>
      </c>
      <c r="BM1" s="52" t="s">
        <v>388</v>
      </c>
      <c r="BN1" s="52" t="s">
        <v>389</v>
      </c>
      <c r="BO1" s="52" t="s">
        <v>390</v>
      </c>
      <c r="BP1" s="52" t="s">
        <v>391</v>
      </c>
      <c r="BQ1" s="52" t="s">
        <v>392</v>
      </c>
      <c r="BR1" s="52" t="s">
        <v>393</v>
      </c>
      <c r="BS1" s="52" t="s">
        <v>394</v>
      </c>
      <c r="BT1" s="52" t="s">
        <v>395</v>
      </c>
      <c r="BU1" s="52" t="s">
        <v>396</v>
      </c>
      <c r="BV1" s="52" t="s">
        <v>397</v>
      </c>
      <c r="BW1" s="52" t="s">
        <v>398</v>
      </c>
      <c r="BX1" s="52" t="s">
        <v>399</v>
      </c>
      <c r="BY1" s="52" t="s">
        <v>400</v>
      </c>
      <c r="BZ1" s="52" t="s">
        <v>401</v>
      </c>
      <c r="CA1" s="52" t="s">
        <v>402</v>
      </c>
      <c r="CB1" s="52" t="s">
        <v>403</v>
      </c>
      <c r="CC1" s="52" t="s">
        <v>404</v>
      </c>
      <c r="CD1" s="52" t="s">
        <v>405</v>
      </c>
      <c r="CE1" s="52" t="s">
        <v>406</v>
      </c>
      <c r="CF1" s="52" t="s">
        <v>407</v>
      </c>
      <c r="CG1" s="52" t="s">
        <v>96</v>
      </c>
      <c r="CH1" s="52" t="s">
        <v>408</v>
      </c>
      <c r="CI1" s="52" t="s">
        <v>409</v>
      </c>
      <c r="CJ1" s="52" t="s">
        <v>410</v>
      </c>
      <c r="CK1" s="52" t="s">
        <v>411</v>
      </c>
      <c r="CL1" s="52" t="s">
        <v>412</v>
      </c>
      <c r="CM1" s="52" t="s">
        <v>413</v>
      </c>
      <c r="CN1" s="52" t="s">
        <v>67</v>
      </c>
      <c r="CO1" s="52" t="s">
        <v>414</v>
      </c>
      <c r="CP1" s="52" t="s">
        <v>415</v>
      </c>
      <c r="CQ1" s="52" t="s">
        <v>416</v>
      </c>
      <c r="CR1" s="52" t="s">
        <v>417</v>
      </c>
      <c r="CS1" s="52" t="s">
        <v>123</v>
      </c>
      <c r="CT1" s="52" t="s">
        <v>124</v>
      </c>
      <c r="CU1" s="52" t="s">
        <v>418</v>
      </c>
      <c r="CV1" s="52" t="s">
        <v>419</v>
      </c>
      <c r="CW1" s="52" t="s">
        <v>420</v>
      </c>
      <c r="CX1" s="52" t="s">
        <v>421</v>
      </c>
      <c r="CY1" s="52" t="s">
        <v>422</v>
      </c>
      <c r="CZ1" s="52" t="s">
        <v>423</v>
      </c>
      <c r="DA1" s="52" t="s">
        <v>424</v>
      </c>
      <c r="DB1" s="52" t="s">
        <v>425</v>
      </c>
      <c r="DC1" s="52" t="s">
        <v>426</v>
      </c>
      <c r="DD1" s="52" t="s">
        <v>427</v>
      </c>
      <c r="DE1" s="52" t="s">
        <v>428</v>
      </c>
      <c r="DF1" s="52" t="s">
        <v>429</v>
      </c>
      <c r="DG1" s="52" t="s">
        <v>430</v>
      </c>
      <c r="DH1" s="52" t="s">
        <v>431</v>
      </c>
      <c r="DI1" s="52" t="s">
        <v>432</v>
      </c>
      <c r="DJ1" s="52" t="s">
        <v>433</v>
      </c>
      <c r="DK1" s="52" t="s">
        <v>434</v>
      </c>
      <c r="DL1" s="52" t="s">
        <v>435</v>
      </c>
      <c r="DM1" s="52" t="s">
        <v>292</v>
      </c>
      <c r="DN1" s="52" t="s">
        <v>293</v>
      </c>
      <c r="DO1" s="52" t="s">
        <v>294</v>
      </c>
      <c r="DP1" s="52" t="s">
        <v>295</v>
      </c>
      <c r="DQ1" s="52" t="s">
        <v>436</v>
      </c>
      <c r="DR1" s="52" t="s">
        <v>437</v>
      </c>
      <c r="DS1" s="52" t="s">
        <v>438</v>
      </c>
      <c r="DT1" s="52" t="s">
        <v>439</v>
      </c>
      <c r="DU1" s="52" t="s">
        <v>440</v>
      </c>
      <c r="DV1" s="52" t="s">
        <v>441</v>
      </c>
      <c r="DW1" s="52" t="s">
        <v>73</v>
      </c>
      <c r="DX1" s="52" t="s">
        <v>442</v>
      </c>
      <c r="DY1" s="52" t="s">
        <v>443</v>
      </c>
      <c r="DZ1" s="52" t="s">
        <v>444</v>
      </c>
      <c r="EA1" s="52" t="s">
        <v>297</v>
      </c>
    </row>
    <row r="2" customFormat="false" ht="15" hidden="false" customHeight="false" outlineLevel="0" collapsed="false">
      <c r="A2" s="0" t="s">
        <v>44</v>
      </c>
      <c r="B2" s="0" t="n">
        <v>4.85826734475321</v>
      </c>
      <c r="C2" s="0" t="n">
        <v>7.32161946223132</v>
      </c>
      <c r="D2" s="0" t="n">
        <v>12.0219924503529</v>
      </c>
      <c r="E2" s="0" t="n">
        <v>8.60643795579243</v>
      </c>
      <c r="F2" s="0" t="n">
        <v>0.136581804771269</v>
      </c>
      <c r="G2" s="0" t="n">
        <v>0.482525685338123</v>
      </c>
      <c r="H2" s="0" t="n">
        <v>0.587477671732417</v>
      </c>
      <c r="J2" s="0" t="n">
        <v>5.63827919752335</v>
      </c>
      <c r="K2" s="0" t="n">
        <v>3.34355904544451</v>
      </c>
      <c r="L2" s="0" t="n">
        <v>3.15903039842614</v>
      </c>
      <c r="M2" s="0" t="n">
        <v>0.0452296327987705</v>
      </c>
      <c r="N2" s="0" t="n">
        <v>-1.41205277943308</v>
      </c>
      <c r="P2" s="0" t="n">
        <v>1000.46171994954</v>
      </c>
      <c r="Q2" s="0" t="n">
        <v>1507.73917534835</v>
      </c>
      <c r="R2" s="0" t="n">
        <v>15180.5393626813</v>
      </c>
      <c r="S2" s="0" t="n">
        <v>2675.36094634809</v>
      </c>
      <c r="T2" s="0" t="n">
        <v>12468.5589809724</v>
      </c>
      <c r="U2" s="0" t="n">
        <v>1299.15527471533</v>
      </c>
      <c r="V2" s="0" t="n">
        <v>3.33230302980731</v>
      </c>
      <c r="W2" s="0" t="n">
        <v>2.16732298909805</v>
      </c>
      <c r="X2" s="0" t="n">
        <v>0</v>
      </c>
      <c r="Y2" s="0" t="n">
        <v>0</v>
      </c>
      <c r="Z2" s="0" t="n">
        <v>0.177015462480556</v>
      </c>
      <c r="AA2" s="0" t="n">
        <v>0</v>
      </c>
      <c r="AB2" s="0" t="n">
        <v>1.20236331308033</v>
      </c>
      <c r="AC2" s="0" t="n">
        <v>59.616931194861</v>
      </c>
      <c r="AD2" s="0" t="n">
        <v>1059614000000</v>
      </c>
      <c r="AE2" s="0" t="n">
        <v>10.4940987900542</v>
      </c>
      <c r="AF2" s="0" t="n">
        <v>0.0667342057056556</v>
      </c>
      <c r="AG2" s="0" t="n">
        <v>0.0802387606680365</v>
      </c>
      <c r="AH2" s="0" t="n">
        <v>0.11186170761886</v>
      </c>
      <c r="AI2" s="0" t="n">
        <v>0.0851122285217392</v>
      </c>
      <c r="AJ2" s="0" t="n">
        <v>9.5692768796782</v>
      </c>
      <c r="AK2" s="0" t="n">
        <v>58.4623712057502</v>
      </c>
      <c r="AL2" s="0" t="n">
        <v>18.623338949392</v>
      </c>
      <c r="AM2" s="0" t="n">
        <v>49.4083091360364</v>
      </c>
      <c r="AN2" s="0" t="n">
        <v>38.1429030207217</v>
      </c>
      <c r="AO2" s="0" t="n">
        <v>1.01259370183906</v>
      </c>
      <c r="AP2" s="0" t="n">
        <v>6.24333212068038</v>
      </c>
      <c r="AQ2" s="0" t="n">
        <v>0.176200775637096</v>
      </c>
      <c r="AR2" s="0" t="n">
        <v>0.114826079804714</v>
      </c>
      <c r="AS2" s="0" t="n">
        <v>0.0935232600890317</v>
      </c>
      <c r="AT2" s="0" t="n">
        <v>0.104396223156706</v>
      </c>
      <c r="AU2" s="0" t="n">
        <v>0.45829527995903</v>
      </c>
      <c r="AV2" s="0" t="n">
        <v>1.61876606312628</v>
      </c>
      <c r="AW2" s="0" t="n">
        <v>458</v>
      </c>
      <c r="AX2" s="0" t="n">
        <v>458</v>
      </c>
      <c r="AY2" s="0" t="n">
        <v>0.4718</v>
      </c>
      <c r="AZ2" s="0" t="n">
        <v>0.0625</v>
      </c>
      <c r="BA2" s="0" t="s">
        <v>445</v>
      </c>
      <c r="BB2" s="0" t="n">
        <v>7</v>
      </c>
      <c r="BE2" s="0" t="n">
        <v>0.1667</v>
      </c>
      <c r="BF2" s="0" t="n">
        <v>0.75</v>
      </c>
      <c r="BG2" s="0" t="n">
        <v>1</v>
      </c>
      <c r="BH2" s="0" t="n">
        <v>1</v>
      </c>
      <c r="BI2" s="0" t="n">
        <v>1</v>
      </c>
      <c r="BJ2" s="0" t="n">
        <v>0.75</v>
      </c>
      <c r="BK2" s="0" t="n">
        <v>29217807000000</v>
      </c>
      <c r="BL2" s="0" t="n">
        <v>5208680000000</v>
      </c>
      <c r="BM2" s="0" t="n">
        <v>3025424000000</v>
      </c>
      <c r="BN2" s="0" t="n">
        <v>1925577000000</v>
      </c>
      <c r="BO2" s="0" t="n">
        <v>5149236000000</v>
      </c>
      <c r="BP2" s="0" t="n">
        <v>28854423000000</v>
      </c>
      <c r="BQ2" s="0" t="n">
        <v>4248033000000</v>
      </c>
      <c r="BR2" s="0" t="n">
        <v>7698860000000</v>
      </c>
      <c r="BS2" s="0" t="n">
        <v>14098342346752</v>
      </c>
      <c r="BT2" s="0" t="n">
        <v>9557406384128</v>
      </c>
      <c r="BU2" s="0" t="n">
        <v>1924688333</v>
      </c>
      <c r="BV2" s="0" t="n">
        <v>23998090000000</v>
      </c>
      <c r="BW2" s="0" t="n">
        <v>0</v>
      </c>
      <c r="BX2" s="0" t="n">
        <v>-5149236000000</v>
      </c>
      <c r="BY2" s="0" t="n">
        <v>10999829000000</v>
      </c>
      <c r="BZ2" s="0" t="n">
        <v>3300969000000</v>
      </c>
      <c r="CA2" s="0" t="n">
        <v>2858453000000</v>
      </c>
      <c r="CC2" s="0" t="n">
        <v>-825976000000</v>
      </c>
      <c r="CD2" s="0" t="n">
        <v>2500469000000</v>
      </c>
      <c r="CE2" s="0" t="n">
        <v>3845563000000</v>
      </c>
      <c r="CF2" s="0" t="n">
        <v>18997695000000</v>
      </c>
      <c r="CG2" s="0" t="n">
        <v>0.136</v>
      </c>
      <c r="CH2" s="0" t="n">
        <v>0.29908250053561</v>
      </c>
      <c r="CI2" s="0" t="n">
        <v>0.140091279165906</v>
      </c>
      <c r="CJ2" s="0" t="n">
        <v>3.34355904544451</v>
      </c>
      <c r="CK2" s="0" t="n">
        <v>0.177359078003668</v>
      </c>
      <c r="CL2" s="0" t="n">
        <v>6751796000000</v>
      </c>
      <c r="CM2" s="0" t="n">
        <v>3507.99445512096</v>
      </c>
      <c r="CN2" s="0" t="s">
        <v>446</v>
      </c>
      <c r="CO2" s="0" t="n">
        <v>2163087000000</v>
      </c>
      <c r="CP2" s="0" t="n">
        <v>0.0991249902104834</v>
      </c>
      <c r="CQ2" s="0" t="n">
        <v>0.756733449876559</v>
      </c>
      <c r="CR2" s="0" t="n">
        <v>9980.47381004206</v>
      </c>
      <c r="CS2" s="0" t="n">
        <v>0.0949386633877265</v>
      </c>
      <c r="CT2" s="0" t="n">
        <v>0.0949386633877265</v>
      </c>
      <c r="CU2" s="0" t="n">
        <v>-0.05185089090771</v>
      </c>
      <c r="CV2" s="0" t="n">
        <v>-0.05185089090771</v>
      </c>
      <c r="CW2" s="0" t="n">
        <v>0.157381561474312</v>
      </c>
      <c r="CX2" s="0" t="n">
        <v>0.0872360123140327</v>
      </c>
      <c r="CY2" s="0" t="n">
        <v>0.0565796468102587</v>
      </c>
      <c r="CZ2" s="0" t="n">
        <v>0.135201500765011</v>
      </c>
      <c r="DA2" s="0" t="n">
        <v>5</v>
      </c>
      <c r="DB2" s="0" t="n">
        <v>4</v>
      </c>
      <c r="DC2" s="0" t="n">
        <v>1</v>
      </c>
      <c r="DE2" s="0" t="n">
        <v>1</v>
      </c>
      <c r="DG2" s="0" t="n">
        <v>1</v>
      </c>
      <c r="DH2" s="0" t="n">
        <v>1</v>
      </c>
      <c r="DI2" s="0" t="n">
        <v>1</v>
      </c>
      <c r="DJ2" s="0" t="n">
        <v>1</v>
      </c>
      <c r="DK2" s="0" t="n">
        <v>1</v>
      </c>
      <c r="DL2" s="0" t="s">
        <v>447</v>
      </c>
      <c r="DM2" s="0" t="n">
        <v>9000</v>
      </c>
      <c r="DN2" s="0" t="n">
        <v>5825</v>
      </c>
      <c r="DO2" s="0" t="n">
        <v>-0.186111111111111</v>
      </c>
      <c r="DP2" s="0" t="n">
        <v>0.0732600732600732</v>
      </c>
      <c r="DQ2" s="0" t="n">
        <v>0.0128368736320847</v>
      </c>
      <c r="DR2" s="0" t="n">
        <v>-0.073421826716402</v>
      </c>
      <c r="DS2" s="0" t="n">
        <v>0.1692</v>
      </c>
      <c r="DT2" s="0" t="n">
        <v>-0.6781</v>
      </c>
      <c r="DU2" s="0" t="n">
        <v>121</v>
      </c>
      <c r="DV2" s="0" t="s">
        <v>448</v>
      </c>
      <c r="DW2" s="0" t="n">
        <v>0.45</v>
      </c>
      <c r="DX2" s="0" t="s">
        <v>300</v>
      </c>
      <c r="DY2" s="0" t="n">
        <v>1</v>
      </c>
      <c r="DZ2" s="0" t="s">
        <v>449</v>
      </c>
      <c r="EA2" s="0" t="s">
        <v>301</v>
      </c>
    </row>
    <row r="3" customFormat="false" ht="15" hidden="false" customHeight="false" outlineLevel="0" collapsed="false">
      <c r="A3" s="0" t="s">
        <v>79</v>
      </c>
      <c r="B3" s="0" t="n">
        <v>-4.46561604669248</v>
      </c>
      <c r="C3" s="0" t="n">
        <v>-4.59944456122133</v>
      </c>
      <c r="E3" s="0" t="n">
        <v>8.60643795579243</v>
      </c>
      <c r="F3" s="0" t="n">
        <v>-0.21741755698746</v>
      </c>
      <c r="G3" s="0" t="n">
        <v>0.716179539137188</v>
      </c>
      <c r="H3" s="0" t="n">
        <v>4.77697622664907</v>
      </c>
      <c r="J3" s="0" t="n">
        <v>-21.8074174464035</v>
      </c>
      <c r="K3" s="0" t="n">
        <v>-7.93003041271303</v>
      </c>
      <c r="L3" s="0" t="n">
        <v>-11.1963601752076</v>
      </c>
      <c r="M3" s="0" t="n">
        <v>0.103769427692347</v>
      </c>
      <c r="P3" s="0" t="n">
        <v>-6.52252670962379</v>
      </c>
      <c r="Q3" s="0" t="n">
        <v>-6.71799807379767</v>
      </c>
      <c r="R3" s="0" t="n">
        <v>41.8889371850602</v>
      </c>
      <c r="S3" s="0" t="n">
        <v>4.64326722474092</v>
      </c>
      <c r="T3" s="0" t="n">
        <v>6.280123361854</v>
      </c>
      <c r="U3" s="0" t="n">
        <v>-1.3756787020689</v>
      </c>
      <c r="V3" s="0" t="n">
        <v>0.453865552331569</v>
      </c>
      <c r="W3" s="0" t="n">
        <v>0.445167400222487</v>
      </c>
      <c r="X3" s="0" t="n">
        <v>4.08700903296069</v>
      </c>
      <c r="Y3" s="0" t="n">
        <v>0.0050069491601576</v>
      </c>
      <c r="Z3" s="0" t="n">
        <v>13.739970648633</v>
      </c>
      <c r="AA3" s="0" t="n">
        <v>0.436842743086351</v>
      </c>
      <c r="AB3" s="0" t="n">
        <v>9.35579015021616</v>
      </c>
      <c r="AC3" s="0" t="n">
        <v>-6.48298850215126</v>
      </c>
      <c r="AD3" s="0" t="n">
        <v>-5484120286</v>
      </c>
      <c r="AE3" s="0" t="n">
        <v>-8.97025456540913</v>
      </c>
      <c r="AF3" s="0" t="n">
        <v>-0.111011307896984</v>
      </c>
      <c r="AG3" s="0" t="n">
        <v>-1.03859850098521</v>
      </c>
      <c r="AH3" s="0" t="n">
        <v>-0.665695698623095</v>
      </c>
      <c r="AI3" s="0" t="n">
        <v>-0.14011542442172</v>
      </c>
      <c r="AJ3" s="0" t="n">
        <v>76.3041318335148</v>
      </c>
      <c r="AK3" s="0" t="n">
        <v>5.63998317293322</v>
      </c>
      <c r="AL3" s="0" t="n">
        <v>150.454973862584</v>
      </c>
      <c r="AM3" s="0" t="n">
        <v>-68.5108588561361</v>
      </c>
      <c r="AN3" s="0" t="n">
        <v>4.78348932396453</v>
      </c>
      <c r="AO3" s="0" t="n">
        <v>0.712936245468643</v>
      </c>
      <c r="AP3" s="0" t="n">
        <v>64.7165051398854</v>
      </c>
      <c r="AQ3" s="0" t="n">
        <v>0.463651343907867</v>
      </c>
      <c r="AR3" s="0" t="n">
        <v>-0.234652815702998</v>
      </c>
      <c r="AS3" s="0" t="n">
        <v>-0.234605921705733</v>
      </c>
      <c r="AT3" s="0" t="n">
        <v>-0.409924431678004</v>
      </c>
      <c r="AU3" s="0" t="n">
        <v>-0.266928763330391</v>
      </c>
      <c r="AV3" s="0" t="n">
        <v>-0.443236959430638</v>
      </c>
      <c r="AY3" s="0" t="n">
        <v>0</v>
      </c>
      <c r="BB3" s="0" t="n">
        <v>1</v>
      </c>
      <c r="BE3" s="0" t="n">
        <v>0.0833</v>
      </c>
      <c r="BF3" s="0" t="n">
        <v>1</v>
      </c>
      <c r="BG3" s="0" t="n">
        <v>0.1111</v>
      </c>
      <c r="BH3" s="0" t="n">
        <v>0.6667</v>
      </c>
      <c r="BI3" s="0" t="n">
        <v>0.1667</v>
      </c>
      <c r="BJ3" s="0" t="n">
        <v>0.0833</v>
      </c>
      <c r="BK3" s="0" t="n">
        <v>164870368654</v>
      </c>
      <c r="BL3" s="0" t="n">
        <v>53489086052</v>
      </c>
      <c r="BM3" s="0" t="n">
        <v>-15743039533</v>
      </c>
      <c r="BN3" s="0" t="n">
        <v>-25671966286</v>
      </c>
      <c r="BO3" s="0" t="n">
        <v>18275402303</v>
      </c>
      <c r="BP3" s="0" t="n">
        <v>231255416879</v>
      </c>
      <c r="BQ3" s="0" t="n">
        <v>339623119933</v>
      </c>
      <c r="BR3" s="0" t="n">
        <v>-108061186329</v>
      </c>
      <c r="BS3" s="0" t="n">
        <v>118076784640</v>
      </c>
      <c r="BT3" s="0" t="n">
        <v>176264740864</v>
      </c>
      <c r="BU3" s="0" t="n">
        <v>3935892857</v>
      </c>
      <c r="BV3" s="0" t="n">
        <v>24717892681</v>
      </c>
      <c r="BW3" s="0" t="n">
        <v>101022250663</v>
      </c>
      <c r="BX3" s="0" t="n">
        <v>82746848360</v>
      </c>
      <c r="BY3" s="0" t="n">
        <v>89804351709</v>
      </c>
      <c r="BZ3" s="0" t="n">
        <v>197865538038</v>
      </c>
      <c r="CA3" s="0" t="n">
        <v>-22227498722</v>
      </c>
      <c r="CC3" s="0" t="n">
        <v>-1136604796</v>
      </c>
      <c r="CD3" s="0" t="n">
        <v>-5414523977</v>
      </c>
      <c r="CE3" s="0" t="n">
        <v>1721064547</v>
      </c>
      <c r="CF3" s="0" t="n">
        <v>-378479196393</v>
      </c>
      <c r="CG3" s="0" t="n">
        <v>0.397</v>
      </c>
      <c r="CH3" s="0" t="n">
        <v>-0.126102921168732</v>
      </c>
      <c r="CI3" s="0" t="n">
        <v>-0.157139139922957</v>
      </c>
      <c r="CJ3" s="0" t="n">
        <v>-7.93003041271303</v>
      </c>
      <c r="CK3" s="0" t="n">
        <v>-0.0458559571511719</v>
      </c>
      <c r="CL3" s="0" t="n">
        <v>-249818768224</v>
      </c>
      <c r="CM3" s="0" t="n">
        <v>-63.4719432922815</v>
      </c>
      <c r="CN3" s="0" t="s">
        <v>446</v>
      </c>
      <c r="CO3" s="0" t="n">
        <v>-21496579491.5</v>
      </c>
      <c r="CP3" s="0" t="n">
        <v>-0.111606727505489</v>
      </c>
      <c r="CQ3" s="0" t="n">
        <v>0.967116442581254</v>
      </c>
      <c r="CS3" s="0" t="n">
        <v>0.0271183031780712</v>
      </c>
      <c r="CT3" s="0" t="n">
        <v>0.0271183031780712</v>
      </c>
      <c r="CW3" s="0" t="n">
        <v>0.340985216199248</v>
      </c>
      <c r="CX3" s="0" t="n">
        <v>-0.1218187591571</v>
      </c>
      <c r="CY3" s="0" t="n">
        <v>-0.442798996143286</v>
      </c>
      <c r="CZ3" s="0" t="n">
        <v>0.0777303285188751</v>
      </c>
      <c r="DA3" s="0" t="n">
        <v>5</v>
      </c>
      <c r="DB3" s="0" t="n">
        <v>4</v>
      </c>
      <c r="DC3" s="0" t="n">
        <v>0</v>
      </c>
      <c r="DE3" s="0" t="n">
        <v>0</v>
      </c>
      <c r="DG3" s="0" t="n">
        <v>0</v>
      </c>
      <c r="DH3" s="0" t="n">
        <v>0</v>
      </c>
      <c r="DI3" s="0" t="n">
        <v>1</v>
      </c>
      <c r="DJ3" s="0" t="n">
        <v>0</v>
      </c>
      <c r="DK3" s="0" t="n">
        <v>0</v>
      </c>
      <c r="DL3" s="0" t="s">
        <v>447</v>
      </c>
      <c r="DM3" s="0" t="n">
        <v>97</v>
      </c>
      <c r="DN3" s="0" t="n">
        <v>29</v>
      </c>
      <c r="DO3" s="0" t="n">
        <v>-0.690721649484536</v>
      </c>
      <c r="DP3" s="0" t="n">
        <v>-0.189189189189189</v>
      </c>
      <c r="DQ3" s="0" t="n">
        <v>-0.278875214846296</v>
      </c>
      <c r="DR3" s="0" t="n">
        <v>-0.411521560638801</v>
      </c>
      <c r="DS3" s="0" t="n">
        <v>0.0256</v>
      </c>
      <c r="DT3" s="0" t="n">
        <v>-0.9676</v>
      </c>
      <c r="DU3" s="0" t="n">
        <v>120</v>
      </c>
      <c r="DV3" s="0" t="s">
        <v>450</v>
      </c>
      <c r="DW3" s="0" t="n">
        <v>1.45</v>
      </c>
      <c r="DX3" s="0" t="s">
        <v>300</v>
      </c>
      <c r="DY3" s="0" t="n">
        <v>1</v>
      </c>
      <c r="DZ3" s="0" t="s">
        <v>449</v>
      </c>
      <c r="EA3" s="0" t="s">
        <v>301</v>
      </c>
    </row>
    <row r="4" customFormat="false" ht="15" hidden="false" customHeight="false" outlineLevel="0" collapsed="false">
      <c r="A4" s="0" t="s">
        <v>47</v>
      </c>
      <c r="B4" s="0" t="n">
        <v>7.96988450266671</v>
      </c>
      <c r="C4" s="0" t="n">
        <v>9.0941537589781</v>
      </c>
      <c r="D4" s="0" t="n">
        <v>4.91904872569525</v>
      </c>
      <c r="E4" s="0" t="n">
        <v>8.60643795579243</v>
      </c>
      <c r="F4" s="0" t="n">
        <v>0.109960753523962</v>
      </c>
      <c r="G4" s="0" t="n">
        <v>2.20338148448342</v>
      </c>
      <c r="H4" s="0" t="n">
        <v>0.834357491077331</v>
      </c>
      <c r="J4" s="0" t="n">
        <v>-171.011348693876</v>
      </c>
      <c r="K4" s="0" t="n">
        <v>6.47667967861175</v>
      </c>
      <c r="L4" s="0" t="n">
        <v>6.43417034736683</v>
      </c>
      <c r="M4" s="0" t="n">
        <v>-0.259952615534635</v>
      </c>
      <c r="N4" s="0" t="n">
        <v>-0.208665996775431</v>
      </c>
      <c r="P4" s="0" t="n">
        <v>279.300313950863</v>
      </c>
      <c r="Q4" s="0" t="n">
        <v>318.699725090134</v>
      </c>
      <c r="R4" s="0" t="n">
        <v>1152.77351942107</v>
      </c>
      <c r="S4" s="0" t="n">
        <v>720.379843065332</v>
      </c>
      <c r="T4" s="0" t="n">
        <v>3044.2586387285</v>
      </c>
      <c r="U4" s="0" t="n">
        <v>-14.8528144353856</v>
      </c>
      <c r="V4" s="0" t="n">
        <v>4.32073122110532</v>
      </c>
      <c r="W4" s="0" t="n">
        <v>4.09881833990754</v>
      </c>
      <c r="X4" s="0" t="n">
        <v>0.216417911972027</v>
      </c>
      <c r="Y4" s="0" t="n">
        <v>0.191623598501692</v>
      </c>
      <c r="Z4" s="0" t="n">
        <v>0.359854866939234</v>
      </c>
      <c r="AA4" s="0" t="n">
        <v>0.147461192738257</v>
      </c>
      <c r="AB4" s="0" t="n">
        <v>1.46762621373997</v>
      </c>
      <c r="AC4" s="0" t="n">
        <v>61.2580613830614</v>
      </c>
      <c r="AD4" s="0" t="n">
        <v>645350596000</v>
      </c>
      <c r="AE4" s="0" t="n">
        <v>6.81474473603233</v>
      </c>
      <c r="AF4" s="0" t="n">
        <v>0.0625135866123749</v>
      </c>
      <c r="AG4" s="0" t="n">
        <v>0.0917465784272254</v>
      </c>
      <c r="AH4" s="0" t="n">
        <v>0.0956211509565632</v>
      </c>
      <c r="AI4" s="0" t="n">
        <v>0.0856778916241402</v>
      </c>
      <c r="AJ4" s="0" t="n">
        <v>60.8211597431423</v>
      </c>
      <c r="AK4" s="0" t="n">
        <v>39.1972152800812</v>
      </c>
      <c r="AL4" s="0" t="n">
        <v>46.0090278849659</v>
      </c>
      <c r="AM4" s="0" t="n">
        <v>54.0093471382576</v>
      </c>
      <c r="AN4" s="0" t="n">
        <v>6.00120092318947</v>
      </c>
      <c r="AO4" s="0" t="n">
        <v>0.258016205679809</v>
      </c>
      <c r="AP4" s="0" t="n">
        <v>9.31188599475539</v>
      </c>
      <c r="AQ4" s="0" t="n">
        <v>0.379176266975292</v>
      </c>
      <c r="AR4" s="0" t="n">
        <v>0.310720846030516</v>
      </c>
      <c r="AS4" s="0" t="n">
        <v>0.272107962327858</v>
      </c>
      <c r="AT4" s="0" t="n">
        <v>1.1984439027926</v>
      </c>
      <c r="AU4" s="0" t="n">
        <v>1.20228642251121</v>
      </c>
      <c r="AV4" s="0" t="n">
        <v>-0.3498389019966</v>
      </c>
      <c r="AW4" s="0" t="n">
        <v>236.52</v>
      </c>
      <c r="AX4" s="0" t="n">
        <v>236.52</v>
      </c>
      <c r="AY4" s="0" t="n">
        <v>1.1035</v>
      </c>
      <c r="AZ4" s="0" t="n">
        <v>0.093100004</v>
      </c>
      <c r="BA4" s="0" t="s">
        <v>451</v>
      </c>
      <c r="BB4" s="0" t="n">
        <v>2</v>
      </c>
      <c r="BE4" s="0" t="n">
        <v>0.5833</v>
      </c>
      <c r="BF4" s="0" t="n">
        <v>0.3333</v>
      </c>
      <c r="BG4" s="0" t="n">
        <v>0.6667</v>
      </c>
      <c r="BH4" s="0" t="n">
        <v>0.4167</v>
      </c>
      <c r="BI4" s="0" t="n">
        <v>0.75</v>
      </c>
      <c r="BJ4" s="0" t="n">
        <v>0.9167</v>
      </c>
      <c r="BK4" s="0" t="n">
        <v>33200447060000</v>
      </c>
      <c r="BL4" s="0" t="n">
        <v>11388431428000</v>
      </c>
      <c r="BM4" s="0" t="n">
        <v>11369431040000</v>
      </c>
      <c r="BN4" s="0" t="n">
        <v>8043987072000</v>
      </c>
      <c r="BO4" s="0" t="n">
        <v>20747295492000</v>
      </c>
      <c r="BP4" s="0" t="n">
        <v>128675820856000</v>
      </c>
      <c r="BQ4" s="0" t="n">
        <v>31550690468000</v>
      </c>
      <c r="BR4" s="0" t="n">
        <v>35051722376000</v>
      </c>
      <c r="BS4" s="0" t="n">
        <v>73153250328576</v>
      </c>
      <c r="BT4" s="0" t="n">
        <v>73152856064000</v>
      </c>
      <c r="BU4" s="0" t="n">
        <v>28800494200</v>
      </c>
      <c r="BV4" s="0" t="n">
        <v>87676153268000</v>
      </c>
      <c r="BW4" s="0" t="n">
        <v>18974690020000</v>
      </c>
      <c r="BX4" s="0" t="n">
        <v>-1772605472000</v>
      </c>
      <c r="BY4" s="0" t="n">
        <v>45607145276000</v>
      </c>
      <c r="BZ4" s="0" t="n">
        <v>10555422900000</v>
      </c>
      <c r="CA4" s="0" t="n">
        <v>11294808404000</v>
      </c>
      <c r="CC4" s="0" t="n">
        <v>-13505121212000</v>
      </c>
      <c r="CD4" s="0" t="n">
        <v>-427768396000</v>
      </c>
      <c r="CE4" s="0" t="n">
        <v>2342384308000</v>
      </c>
      <c r="CF4" s="0" t="n">
        <v>59998963200000</v>
      </c>
      <c r="CG4" s="0" t="n">
        <v>-0.255</v>
      </c>
      <c r="CH4" s="0" t="n">
        <v>0.154400101536957</v>
      </c>
      <c r="CI4" s="0" t="n">
        <v>0.115995157987041</v>
      </c>
      <c r="CJ4" s="0" t="n">
        <v>6.47667967861175</v>
      </c>
      <c r="CK4" s="0" t="n">
        <v>-0.0058475651331776</v>
      </c>
      <c r="CL4" s="0" t="n">
        <v>14056454808000</v>
      </c>
      <c r="CM4" s="0" t="n">
        <v>488.062972474965</v>
      </c>
      <c r="CN4" s="0" t="s">
        <v>446</v>
      </c>
      <c r="CO4" s="0" t="n">
        <v>15510476960000</v>
      </c>
      <c r="CP4" s="0" t="n">
        <v>0.411058016881893</v>
      </c>
      <c r="CQ4" s="0" t="n">
        <v>1.37323949244744</v>
      </c>
      <c r="CR4" s="0" t="n">
        <v>3562.11615674289</v>
      </c>
      <c r="CS4" s="0" t="n">
        <v>-0.386216060040472</v>
      </c>
      <c r="CT4" s="0" t="n">
        <v>-0.386216060040472</v>
      </c>
      <c r="CU4" s="0" t="n">
        <v>-0.43582346426885</v>
      </c>
      <c r="CV4" s="0" t="n">
        <v>-0.43582346426885</v>
      </c>
      <c r="CW4" s="0" t="n">
        <v>0.413393193704377</v>
      </c>
      <c r="CX4" s="0" t="n">
        <v>0.411052465937951</v>
      </c>
      <c r="CY4" s="0" t="n">
        <v>0.261231109240986</v>
      </c>
      <c r="CZ4" s="0" t="n">
        <v>0.741808834094531</v>
      </c>
      <c r="DA4" s="0" t="n">
        <v>5</v>
      </c>
      <c r="DB4" s="0" t="n">
        <v>4</v>
      </c>
      <c r="DC4" s="0" t="n">
        <v>1</v>
      </c>
      <c r="DE4" s="0" t="n">
        <v>0</v>
      </c>
      <c r="DG4" s="0" t="n">
        <v>0</v>
      </c>
      <c r="DH4" s="0" t="n">
        <v>0</v>
      </c>
      <c r="DI4" s="0" t="n">
        <v>1</v>
      </c>
      <c r="DJ4" s="0" t="n">
        <v>0</v>
      </c>
      <c r="DK4" s="0" t="n">
        <v>0</v>
      </c>
      <c r="DL4" s="0" t="s">
        <v>447</v>
      </c>
      <c r="DM4" s="0" t="n">
        <v>2700</v>
      </c>
      <c r="DN4" s="0" t="n">
        <v>1625</v>
      </c>
      <c r="DO4" s="0" t="n">
        <v>-0.0592592592592592</v>
      </c>
      <c r="DP4" s="0" t="n">
        <v>0.358288770053476</v>
      </c>
      <c r="DQ4" s="0" t="n">
        <v>-0.0026109779392747</v>
      </c>
      <c r="DR4" s="0" t="n">
        <v>0.0861877161298709</v>
      </c>
      <c r="DS4" s="0" t="n">
        <v>0.5294</v>
      </c>
      <c r="DT4" s="0" t="n">
        <v>-0.6245</v>
      </c>
      <c r="DU4" s="0" t="n">
        <v>121</v>
      </c>
      <c r="DV4" s="0" t="s">
        <v>450</v>
      </c>
      <c r="DW4" s="0" t="n">
        <v>1.45</v>
      </c>
      <c r="DX4" s="0" t="s">
        <v>452</v>
      </c>
      <c r="DY4" s="0" t="n">
        <v>17908</v>
      </c>
      <c r="DZ4" s="0" t="s">
        <v>449</v>
      </c>
      <c r="EA4" s="0" t="s">
        <v>301</v>
      </c>
    </row>
    <row r="5" customFormat="false" ht="15" hidden="false" customHeight="false" outlineLevel="0" collapsed="false">
      <c r="A5" s="0" t="s">
        <v>49</v>
      </c>
      <c r="B5" s="0" t="n">
        <v>7.61605234565315</v>
      </c>
      <c r="C5" s="0" t="n">
        <v>6.92208320767034</v>
      </c>
      <c r="D5" s="0" t="n">
        <v>6.64183575130883</v>
      </c>
      <c r="E5" s="0" t="n">
        <v>8.60643795579243</v>
      </c>
      <c r="F5" s="0" t="n">
        <v>0.144465180495361</v>
      </c>
      <c r="G5" s="0" t="n">
        <v>0.641856287706122</v>
      </c>
      <c r="H5" s="0" t="n">
        <v>0.884922332979815</v>
      </c>
      <c r="J5" s="0" t="n">
        <v>9.51365988160598</v>
      </c>
      <c r="K5" s="0" t="n">
        <v>7.2353754663565</v>
      </c>
      <c r="L5" s="0" t="n">
        <v>7.2353754663565</v>
      </c>
      <c r="M5" s="0" t="n">
        <v>-1.9270634857659</v>
      </c>
      <c r="N5" s="0" t="n">
        <v>1.63870643633954</v>
      </c>
      <c r="P5" s="0" t="n">
        <v>736.772420526339</v>
      </c>
      <c r="Q5" s="0" t="n">
        <v>669.638254641306</v>
      </c>
      <c r="R5" s="0" t="n">
        <v>7945.70428342211</v>
      </c>
      <c r="S5" s="0" t="n">
        <v>1156.06035656503</v>
      </c>
      <c r="T5" s="0" t="n">
        <v>5763.2176406111</v>
      </c>
      <c r="U5" s="0" t="n">
        <v>536.071324604367</v>
      </c>
      <c r="V5" s="0" t="n">
        <v>1.18667187530019</v>
      </c>
      <c r="W5" s="0" t="n">
        <v>0.954422321983208</v>
      </c>
      <c r="X5" s="0" t="n">
        <v>0.518098996818332</v>
      </c>
      <c r="Y5" s="0" t="n">
        <v>0.18960481249022</v>
      </c>
      <c r="Z5" s="0" t="n">
        <v>0.976550411182781</v>
      </c>
      <c r="AA5" s="0" t="n">
        <v>0.23166970187574</v>
      </c>
      <c r="AB5" s="0" t="n">
        <v>2.23636924735296</v>
      </c>
      <c r="AC5" s="0" t="n">
        <v>12.4132475194422</v>
      </c>
      <c r="AD5" s="0" t="n">
        <v>7735000000000</v>
      </c>
      <c r="AE5" s="0" t="n">
        <v>3.44111877086024</v>
      </c>
      <c r="AF5" s="0" t="n">
        <v>0.0571642919475935</v>
      </c>
      <c r="AG5" s="0" t="n">
        <v>0.127840464558305</v>
      </c>
      <c r="AH5" s="0" t="n">
        <v>0.129166829442525</v>
      </c>
      <c r="AI5" s="0" t="n">
        <v>0.107603452365276</v>
      </c>
      <c r="AJ5" s="0" t="n">
        <v>32.7598181548773</v>
      </c>
      <c r="AK5" s="0" t="n">
        <v>53.4246945768472</v>
      </c>
      <c r="AL5" s="0" t="n">
        <v>53.2464453063514</v>
      </c>
      <c r="AM5" s="0" t="n">
        <v>32.9380674253731</v>
      </c>
      <c r="AN5" s="0" t="n">
        <v>11.1416979872844</v>
      </c>
      <c r="AO5" s="0" t="n">
        <v>0.616486918799573</v>
      </c>
      <c r="AP5" s="0" t="n">
        <v>6.83204654497325</v>
      </c>
      <c r="AQ5" s="0" t="n">
        <v>0.213994573790145</v>
      </c>
      <c r="AR5" s="0" t="n">
        <v>0.102302984415421</v>
      </c>
      <c r="AS5" s="0" t="n">
        <v>0.0843333964287967</v>
      </c>
      <c r="AT5" s="0" t="n">
        <v>-0.0493756072983769</v>
      </c>
      <c r="AU5" s="0" t="n">
        <v>-0.0059788980070339</v>
      </c>
      <c r="AV5" s="0" t="n">
        <v>-0.0359203693017888</v>
      </c>
      <c r="AW5" s="0" t="n">
        <v>390</v>
      </c>
      <c r="AX5" s="0" t="n">
        <v>390</v>
      </c>
      <c r="AY5" s="0" t="n">
        <v>0.527</v>
      </c>
      <c r="AZ5" s="0" t="n">
        <v>0.0765</v>
      </c>
      <c r="BA5" s="0" t="s">
        <v>453</v>
      </c>
      <c r="BB5" s="0" t="n">
        <v>3</v>
      </c>
      <c r="BE5" s="0" t="n">
        <v>0.6667</v>
      </c>
      <c r="BF5" s="0" t="n">
        <v>0.8333</v>
      </c>
      <c r="BG5" s="0" t="n">
        <v>0.4444</v>
      </c>
      <c r="BH5" s="0" t="n">
        <v>0.8333</v>
      </c>
      <c r="BI5" s="0" t="n">
        <v>0.6667</v>
      </c>
      <c r="BJ5" s="0" t="n">
        <v>0.3333</v>
      </c>
      <c r="BK5" s="0" t="n">
        <v>317193000000000</v>
      </c>
      <c r="BL5" s="0" t="n">
        <v>69422000000000</v>
      </c>
      <c r="BM5" s="0" t="n">
        <v>46289000000000</v>
      </c>
      <c r="BN5" s="0" t="n">
        <v>29412000000000</v>
      </c>
      <c r="BO5" s="0" t="n">
        <v>46150000000000</v>
      </c>
      <c r="BP5" s="0" t="n">
        <v>514517000000000</v>
      </c>
      <c r="BQ5" s="0" t="n">
        <v>224673000000000</v>
      </c>
      <c r="BR5" s="0" t="n">
        <v>29149000000000</v>
      </c>
      <c r="BS5" s="0" t="n">
        <v>203592321466368</v>
      </c>
      <c r="BT5" s="0" t="n">
        <v>334918294962176</v>
      </c>
      <c r="BU5" s="0" t="n">
        <v>39920061040</v>
      </c>
      <c r="BV5" s="0" t="n">
        <v>230068000000000</v>
      </c>
      <c r="BW5" s="0" t="n">
        <v>119198000000000</v>
      </c>
      <c r="BX5" s="0" t="n">
        <v>73048000000000</v>
      </c>
      <c r="BY5" s="0" t="n">
        <v>185300000000000</v>
      </c>
      <c r="BZ5" s="0" t="n">
        <v>156151000000000</v>
      </c>
      <c r="CA5" s="0" t="n">
        <v>46289000000000</v>
      </c>
      <c r="CC5" s="0" t="n">
        <v>-14238000000000</v>
      </c>
      <c r="CD5" s="0" t="n">
        <v>21400000000000</v>
      </c>
      <c r="CE5" s="0" t="n">
        <v>36266000000000</v>
      </c>
      <c r="CF5" s="0" t="n">
        <v>219331000000000</v>
      </c>
      <c r="CG5" s="0" t="n">
        <v>-0.074</v>
      </c>
      <c r="CH5" s="0" t="n">
        <v>0.138209828176832</v>
      </c>
      <c r="CI5" s="0" t="n">
        <v>0.140603310278631</v>
      </c>
      <c r="CJ5" s="0" t="n">
        <v>7.2353754663565</v>
      </c>
      <c r="CK5" s="0" t="n">
        <v>0.105112019185533</v>
      </c>
      <c r="CL5" s="0" t="n">
        <v>-39373000000000</v>
      </c>
      <c r="CM5" s="0" t="n">
        <v>-986.296087086344</v>
      </c>
      <c r="CN5" s="0" t="s">
        <v>446</v>
      </c>
      <c r="CO5" s="0" t="n">
        <v>54915500000000</v>
      </c>
      <c r="CP5" s="0" t="n">
        <v>0.171622468384595</v>
      </c>
      <c r="CQ5" s="0" t="n">
        <v>1.18636177061505</v>
      </c>
      <c r="CR5" s="0" t="n">
        <v>6454.22015027549</v>
      </c>
      <c r="CS5" s="0" t="n">
        <v>0.0237771407229143</v>
      </c>
      <c r="CT5" s="0" t="n">
        <v>0.0237771407229143</v>
      </c>
      <c r="CU5" s="0" t="n">
        <v>0.0422411424900028</v>
      </c>
      <c r="CV5" s="0" t="n">
        <v>0.0422411424900028</v>
      </c>
      <c r="CW5" s="0" t="n">
        <v>0.226997490078191</v>
      </c>
      <c r="CX5" s="0" t="n">
        <v>0.173567195088058</v>
      </c>
      <c r="CY5" s="0" t="n">
        <v>0.154647343177445</v>
      </c>
      <c r="CZ5" s="0" t="n">
        <v>0.0321255612981276</v>
      </c>
      <c r="DA5" s="0" t="n">
        <v>5</v>
      </c>
      <c r="DB5" s="0" t="n">
        <v>4</v>
      </c>
      <c r="DC5" s="0" t="n">
        <v>1</v>
      </c>
      <c r="DE5" s="0" t="n">
        <v>0</v>
      </c>
      <c r="DG5" s="0" t="n">
        <v>1</v>
      </c>
      <c r="DH5" s="0" t="n">
        <v>0</v>
      </c>
      <c r="DI5" s="0" t="n">
        <v>1</v>
      </c>
      <c r="DJ5" s="0" t="n">
        <v>0</v>
      </c>
      <c r="DK5" s="0" t="n">
        <v>0</v>
      </c>
      <c r="DL5" s="0" t="s">
        <v>447</v>
      </c>
      <c r="DM5" s="0" t="n">
        <v>7475</v>
      </c>
      <c r="DN5" s="0" t="n">
        <v>4350</v>
      </c>
      <c r="DO5" s="0" t="n">
        <v>-0.317725752508361</v>
      </c>
      <c r="DP5" s="0" t="n">
        <v>0.0282258064516129</v>
      </c>
      <c r="DQ5" s="0" t="n">
        <v>-0.0405859756873299</v>
      </c>
      <c r="DR5" s="0" t="n">
        <v>-0.0327858867542396</v>
      </c>
      <c r="DS5" s="0" t="n">
        <v>0.2451</v>
      </c>
      <c r="DT5" s="0" t="n">
        <v>-0.5698</v>
      </c>
      <c r="DU5" s="0" t="n">
        <v>121</v>
      </c>
      <c r="DV5" s="0" t="s">
        <v>448</v>
      </c>
      <c r="DW5" s="0" t="n">
        <v>0.45</v>
      </c>
      <c r="DX5" s="0" t="s">
        <v>300</v>
      </c>
      <c r="DY5" s="0" t="n">
        <v>1</v>
      </c>
      <c r="DZ5" s="0" t="s">
        <v>449</v>
      </c>
      <c r="EA5" s="0" t="s">
        <v>301</v>
      </c>
    </row>
    <row r="6" customFormat="false" ht="15" hidden="false" customHeight="false" outlineLevel="0" collapsed="false">
      <c r="A6" s="0" t="s">
        <v>80</v>
      </c>
      <c r="B6" s="0" t="n">
        <v>13.1834870618218</v>
      </c>
      <c r="C6" s="0" t="n">
        <v>13.3764027965192</v>
      </c>
      <c r="D6" s="0" t="n">
        <v>13.2129829215719</v>
      </c>
      <c r="E6" s="0" t="n">
        <v>8.60643795579243</v>
      </c>
      <c r="F6" s="0" t="n">
        <v>0.0747585143189782</v>
      </c>
      <c r="G6" s="0" t="n">
        <v>6.90211599149447</v>
      </c>
      <c r="H6" s="0" t="n">
        <v>2.89573761043044</v>
      </c>
      <c r="I6" s="0" t="n">
        <v>15.7954323930057</v>
      </c>
      <c r="J6" s="0" t="n">
        <v>16.7239075004347</v>
      </c>
      <c r="M6" s="0" t="n">
        <v>2.68711297868091</v>
      </c>
      <c r="N6" s="0" t="n">
        <v>1.09646212869658</v>
      </c>
      <c r="P6" s="0" t="n">
        <v>476.585528783486</v>
      </c>
      <c r="Q6" s="0" t="n">
        <v>483.559468758567</v>
      </c>
      <c r="R6" s="0" t="n">
        <v>923.629782213956</v>
      </c>
      <c r="S6" s="0" t="n">
        <v>779.15833165104</v>
      </c>
      <c r="T6" s="0" t="n">
        <v>2201.51162074812</v>
      </c>
      <c r="U6" s="0" t="n">
        <v>381.190812606072</v>
      </c>
      <c r="X6" s="0" t="n">
        <v>0.0080895905787755</v>
      </c>
      <c r="Z6" s="0" t="n">
        <v>5.13949200462896</v>
      </c>
      <c r="AA6" s="0" t="n">
        <v>0.001317449249531</v>
      </c>
      <c r="AB6" s="0" t="n">
        <v>6.14034322889851</v>
      </c>
      <c r="AD6" s="0" t="n">
        <v>-16453704000000</v>
      </c>
      <c r="AF6" s="0" t="n">
        <v>0.03525552783345</v>
      </c>
      <c r="AG6" s="0" t="n">
        <v>0.216481041613368</v>
      </c>
      <c r="AL6" s="0" t="n">
        <v>10.866084965402</v>
      </c>
      <c r="AO6" s="0" t="n">
        <v>0.0683257327971471</v>
      </c>
      <c r="AS6" s="0" t="n">
        <v>0.513994306866756</v>
      </c>
      <c r="AT6" s="0" t="n">
        <v>0.0437878633681206</v>
      </c>
      <c r="AV6" s="0" t="n">
        <v>0.0497798302588884</v>
      </c>
      <c r="AW6" s="0" t="n">
        <v>356</v>
      </c>
      <c r="AX6" s="0" t="n">
        <v>356</v>
      </c>
      <c r="AY6" s="0" t="n">
        <v>0.7542</v>
      </c>
      <c r="AZ6" s="0" t="n">
        <v>0.0558</v>
      </c>
      <c r="BA6" s="0" t="s">
        <v>454</v>
      </c>
      <c r="BB6" s="0" t="n">
        <v>5</v>
      </c>
      <c r="BE6" s="0" t="n">
        <v>1</v>
      </c>
      <c r="BF6" s="0" t="n">
        <v>0.1667</v>
      </c>
      <c r="BH6" s="0" t="n">
        <v>0.0833</v>
      </c>
      <c r="BI6" s="0" t="n">
        <v>0.25</v>
      </c>
      <c r="BJ6" s="0" t="n">
        <v>0.4167</v>
      </c>
      <c r="BK6" s="0" t="n">
        <v>113460300000000</v>
      </c>
      <c r="BN6" s="0" t="n">
        <v>58544601000000</v>
      </c>
      <c r="BO6" s="0" t="n">
        <v>95713174000000</v>
      </c>
      <c r="BP6" s="0" t="n">
        <v>1660579336000000</v>
      </c>
      <c r="BQ6" s="0" t="n">
        <v>1389911590000000</v>
      </c>
      <c r="BS6" s="0" t="n">
        <v>783116151029760</v>
      </c>
      <c r="BT6" s="0" t="n">
        <v>757349031608320</v>
      </c>
      <c r="BU6" s="0" t="n">
        <v>122841751300</v>
      </c>
      <c r="BV6" s="0" t="n">
        <v>270437543000000</v>
      </c>
      <c r="BW6" s="0" t="n">
        <v>2187729000000</v>
      </c>
      <c r="BX6" s="0" t="n">
        <v>-93525445000000</v>
      </c>
      <c r="CB6" s="0" t="n">
        <v>49578646000000</v>
      </c>
      <c r="CC6" s="0" t="n">
        <v>-2752499000000</v>
      </c>
      <c r="CD6" s="0" t="n">
        <v>46826147000000</v>
      </c>
      <c r="CF6" s="0" t="n">
        <v>251487039000000</v>
      </c>
      <c r="CG6" s="0" t="n">
        <v>-0.047</v>
      </c>
      <c r="CK6" s="0" t="n">
        <v>0.0597946383029208</v>
      </c>
      <c r="CN6" s="0" t="s">
        <v>446</v>
      </c>
      <c r="CS6" s="0" t="n">
        <v>0.0849122066373095</v>
      </c>
      <c r="CT6" s="0" t="n">
        <v>0.0849122066373095</v>
      </c>
      <c r="CU6" s="0" t="n">
        <v>0.12199603111163</v>
      </c>
      <c r="CV6" s="0" t="n">
        <v>0.12199603111163</v>
      </c>
      <c r="CY6" s="0" t="n">
        <v>0.202556170005651</v>
      </c>
      <c r="CZ6" s="0" t="n">
        <v>0.0904859121891665</v>
      </c>
      <c r="DA6" s="0" t="n">
        <v>5</v>
      </c>
      <c r="DB6" s="0" t="n">
        <v>4</v>
      </c>
      <c r="DC6" s="0" t="n">
        <v>1</v>
      </c>
      <c r="DD6" s="0" t="n">
        <v>1</v>
      </c>
      <c r="DE6" s="0" t="n">
        <v>0</v>
      </c>
      <c r="DF6" s="0" t="n">
        <v>1</v>
      </c>
      <c r="DG6" s="0" t="n">
        <v>1</v>
      </c>
      <c r="DI6" s="0" t="n">
        <v>1</v>
      </c>
      <c r="DK6" s="0" t="n">
        <v>0</v>
      </c>
      <c r="DL6" s="0" t="s">
        <v>447</v>
      </c>
      <c r="DM6" s="0" t="n">
        <v>8975</v>
      </c>
      <c r="DN6" s="0" t="n">
        <v>4820</v>
      </c>
      <c r="DO6" s="0" t="n">
        <v>-0.289693593314763</v>
      </c>
      <c r="DP6" s="0" t="n">
        <v>-0.231927710843374</v>
      </c>
      <c r="DQ6" s="0" t="n">
        <v>-0.10017640141573</v>
      </c>
      <c r="DR6" s="0" t="n">
        <v>-0.0313345752856757</v>
      </c>
      <c r="DS6" s="0" t="n">
        <v>0.4709</v>
      </c>
      <c r="DT6" s="0" t="n">
        <v>-0.4625</v>
      </c>
      <c r="DU6" s="0" t="n">
        <v>121</v>
      </c>
      <c r="DV6" s="0" t="s">
        <v>448</v>
      </c>
      <c r="DW6" s="0" t="n">
        <v>0.45</v>
      </c>
      <c r="DX6" s="0" t="s">
        <v>300</v>
      </c>
      <c r="DY6" s="0" t="n">
        <v>1</v>
      </c>
      <c r="DZ6" s="0" t="s">
        <v>449</v>
      </c>
      <c r="EA6" s="0" t="s">
        <v>301</v>
      </c>
    </row>
    <row r="7" customFormat="false" ht="15" hidden="false" customHeight="false" outlineLevel="0" collapsed="false">
      <c r="A7" s="0" t="s">
        <v>81</v>
      </c>
      <c r="B7" s="0" t="n">
        <v>7.60518211001158</v>
      </c>
      <c r="C7" s="0" t="n">
        <v>8.18352101322806</v>
      </c>
      <c r="D7" s="0" t="n">
        <v>7.11056589200118</v>
      </c>
      <c r="E7" s="0" t="n">
        <v>8.60643795579243</v>
      </c>
      <c r="F7" s="0" t="n">
        <v>0.122196790157143</v>
      </c>
      <c r="G7" s="0" t="n">
        <v>2.48423890088555</v>
      </c>
      <c r="H7" s="0" t="n">
        <v>1.39353816471835</v>
      </c>
      <c r="I7" s="0" t="n">
        <v>11.6288133244932</v>
      </c>
      <c r="J7" s="0" t="n">
        <v>13.8845438757414</v>
      </c>
      <c r="M7" s="0" t="n">
        <v>3.06750597853392</v>
      </c>
      <c r="N7" s="0" t="n">
        <v>2.37156348431576</v>
      </c>
      <c r="P7" s="0" t="n">
        <v>382.475953191858</v>
      </c>
      <c r="Q7" s="0" t="n">
        <v>411.561479360188</v>
      </c>
      <c r="R7" s="0" t="n">
        <v>1259.94320498166</v>
      </c>
      <c r="S7" s="0" t="n">
        <v>1202.62126479103</v>
      </c>
      <c r="T7" s="0" t="n">
        <v>2246.08129095095</v>
      </c>
      <c r="U7" s="0" t="n">
        <v>225.430518332726</v>
      </c>
      <c r="X7" s="0" t="n">
        <v>0.611672013663914</v>
      </c>
      <c r="Z7" s="0" t="n">
        <v>5.63202752278799</v>
      </c>
      <c r="AA7" s="0" t="n">
        <v>0.0919488579322651</v>
      </c>
      <c r="AB7" s="0" t="n">
        <v>6.65230680857948</v>
      </c>
      <c r="AD7" s="0" t="n">
        <v>48987793000000</v>
      </c>
      <c r="AF7" s="0" t="n">
        <v>0.0255980211962623</v>
      </c>
      <c r="AG7" s="0" t="n">
        <v>0.170285890690058</v>
      </c>
      <c r="AL7" s="0" t="n">
        <v>4.26840959846598</v>
      </c>
      <c r="AO7" s="0" t="n">
        <v>0.0843243937247712</v>
      </c>
      <c r="AS7" s="0" t="n">
        <v>0.312253115787348</v>
      </c>
      <c r="AT7" s="0" t="n">
        <v>0.151728084123539</v>
      </c>
      <c r="AV7" s="0" t="n">
        <v>0.0266780931169994</v>
      </c>
      <c r="AW7" s="0" t="n">
        <v>418</v>
      </c>
      <c r="AX7" s="0" t="n">
        <v>418</v>
      </c>
      <c r="AY7" s="0" t="n">
        <v>0.8879</v>
      </c>
      <c r="AZ7" s="0" t="n">
        <v>0.13350001</v>
      </c>
      <c r="BA7" s="0" t="s">
        <v>455</v>
      </c>
      <c r="BB7" s="0" t="n">
        <v>5</v>
      </c>
      <c r="BE7" s="0" t="n">
        <v>0.9167</v>
      </c>
      <c r="BF7" s="0" t="n">
        <v>0.6667</v>
      </c>
      <c r="BH7" s="0" t="n">
        <v>0.25</v>
      </c>
      <c r="BI7" s="0" t="n">
        <v>0.4167</v>
      </c>
      <c r="BJ7" s="0" t="n">
        <v>0.5</v>
      </c>
      <c r="BK7" s="0" t="n">
        <v>189715857000000</v>
      </c>
      <c r="BN7" s="0" t="n">
        <v>57591289000000</v>
      </c>
      <c r="BO7" s="0" t="n">
        <v>181084610000000</v>
      </c>
      <c r="BP7" s="0" t="n">
        <v>2249833632000000</v>
      </c>
      <c r="BQ7" s="0" t="n">
        <v>1904771578000000</v>
      </c>
      <c r="BS7" s="0" t="n">
        <v>471299512074240</v>
      </c>
      <c r="BT7" s="0" t="n">
        <v>602236287713280</v>
      </c>
      <c r="BU7" s="0" t="n">
        <v>150574927703</v>
      </c>
      <c r="BV7" s="0" t="n">
        <v>338203528000000</v>
      </c>
      <c r="BW7" s="0" t="n">
        <v>206869633000000</v>
      </c>
      <c r="BX7" s="0" t="n">
        <v>25785023000000</v>
      </c>
      <c r="CB7" s="0" t="n">
        <v>40528599000000</v>
      </c>
      <c r="CC7" s="0" t="n">
        <v>-6584415000000</v>
      </c>
      <c r="CD7" s="0" t="n">
        <v>33944184000000</v>
      </c>
      <c r="CF7" s="0" t="n">
        <v>235133403000000</v>
      </c>
      <c r="CG7" s="0" t="n">
        <v>0.168</v>
      </c>
      <c r="CK7" s="0" t="n">
        <v>0.0720225315969625</v>
      </c>
      <c r="CN7" s="0" t="s">
        <v>446</v>
      </c>
      <c r="CS7" s="0" t="n">
        <v>0.067124964167998</v>
      </c>
      <c r="CT7" s="0" t="n">
        <v>0.067124964167998</v>
      </c>
      <c r="CU7" s="0" t="n">
        <v>0.0345068604207707</v>
      </c>
      <c r="CV7" s="0" t="n">
        <v>0.0345068604207707</v>
      </c>
      <c r="CY7" s="0" t="n">
        <v>0.181958847613146</v>
      </c>
      <c r="CZ7" s="0" t="n">
        <v>0.0701688250994566</v>
      </c>
      <c r="DA7" s="0" t="n">
        <v>5</v>
      </c>
      <c r="DB7" s="0" t="n">
        <v>4</v>
      </c>
      <c r="DC7" s="0" t="n">
        <v>1</v>
      </c>
      <c r="DD7" s="0" t="n">
        <v>1</v>
      </c>
      <c r="DE7" s="0" t="n">
        <v>0</v>
      </c>
      <c r="DF7" s="0" t="n">
        <v>0</v>
      </c>
      <c r="DG7" s="0" t="n">
        <v>1</v>
      </c>
      <c r="DI7" s="0" t="n">
        <v>1</v>
      </c>
      <c r="DK7" s="0" t="n">
        <v>1</v>
      </c>
      <c r="DL7" s="0" t="s">
        <v>447</v>
      </c>
      <c r="DM7" s="0" t="n">
        <v>4270</v>
      </c>
      <c r="DN7" s="0" t="n">
        <v>2540</v>
      </c>
      <c r="DO7" s="0" t="n">
        <v>-0.266978922716628</v>
      </c>
      <c r="DP7" s="0" t="n">
        <v>-0.15633423180593</v>
      </c>
      <c r="DQ7" s="0" t="n">
        <v>-0.142262850272226</v>
      </c>
      <c r="DR7" s="0" t="n">
        <v>-0.0593434552655046</v>
      </c>
      <c r="DS7" s="0" t="n">
        <v>0.2771</v>
      </c>
      <c r="DT7" s="0" t="n">
        <v>-0.5543</v>
      </c>
      <c r="DU7" s="0" t="n">
        <v>121</v>
      </c>
      <c r="DV7" s="0" t="s">
        <v>450</v>
      </c>
      <c r="DW7" s="0" t="n">
        <v>1.45</v>
      </c>
      <c r="DX7" s="0" t="s">
        <v>300</v>
      </c>
      <c r="DY7" s="0" t="n">
        <v>1</v>
      </c>
      <c r="DZ7" s="0" t="s">
        <v>449</v>
      </c>
      <c r="EA7" s="0" t="s">
        <v>301</v>
      </c>
    </row>
    <row r="8" customFormat="false" ht="15" hidden="false" customHeight="false" outlineLevel="0" collapsed="false">
      <c r="A8" s="0" t="s">
        <v>38</v>
      </c>
      <c r="B8" s="0" t="n">
        <v>6.52355959340807</v>
      </c>
      <c r="C8" s="0" t="n">
        <v>6.51043340169058</v>
      </c>
      <c r="D8" s="0" t="n">
        <v>6.39054681376982</v>
      </c>
      <c r="E8" s="0" t="n">
        <v>8.60643795579243</v>
      </c>
      <c r="F8" s="0" t="n">
        <v>0.153599605172265</v>
      </c>
      <c r="G8" s="0" t="n">
        <v>2.84997986675591</v>
      </c>
      <c r="H8" s="0" t="n">
        <v>1.37792766317783</v>
      </c>
      <c r="I8" s="0" t="n">
        <v>5.58945454200527</v>
      </c>
      <c r="J8" s="0" t="n">
        <v>6.15204036176021</v>
      </c>
      <c r="M8" s="0" t="n">
        <v>0.469269293371625</v>
      </c>
      <c r="N8" s="0" t="n">
        <v>0.592292445303582</v>
      </c>
      <c r="P8" s="0" t="n">
        <v>651.262325930405</v>
      </c>
      <c r="Q8" s="0" t="n">
        <v>649.951907281485</v>
      </c>
      <c r="R8" s="0" t="n">
        <v>1495.53669666871</v>
      </c>
      <c r="S8" s="0" t="n">
        <v>2921.04335700762</v>
      </c>
      <c r="T8" s="0" t="n">
        <v>3077.08460560372</v>
      </c>
      <c r="U8" s="0" t="n">
        <v>692.818841370695</v>
      </c>
      <c r="X8" s="0" t="n">
        <v>0.793649558304411</v>
      </c>
      <c r="Z8" s="0" t="n">
        <v>7.85171035290449</v>
      </c>
      <c r="AA8" s="0" t="n">
        <v>0.0893615561493181</v>
      </c>
      <c r="AB8" s="0" t="n">
        <v>8.88133099403805</v>
      </c>
      <c r="AD8" s="0" t="n">
        <v>-17333122000000</v>
      </c>
      <c r="AF8" s="0" t="n">
        <v>0.0238307912588928</v>
      </c>
      <c r="AG8" s="0" t="n">
        <v>0.211649145020056</v>
      </c>
      <c r="AL8" s="0" t="n">
        <v>23.8059620979005</v>
      </c>
      <c r="AO8" s="0" t="n">
        <v>0.0547242200558899</v>
      </c>
      <c r="AS8" s="0" t="n">
        <v>0.49609739179762</v>
      </c>
      <c r="AT8" s="0" t="n">
        <v>-0.052667802379681</v>
      </c>
      <c r="AV8" s="0" t="n">
        <v>0.138735551071628</v>
      </c>
      <c r="AW8" s="0" t="n">
        <v>476.96</v>
      </c>
      <c r="AX8" s="0" t="n">
        <v>476.96</v>
      </c>
      <c r="AY8" s="0" t="n">
        <v>0.7147</v>
      </c>
      <c r="AZ8" s="0" t="n">
        <v>0.1125</v>
      </c>
      <c r="BA8" s="0" t="s">
        <v>456</v>
      </c>
      <c r="BB8" s="0" t="n">
        <v>5</v>
      </c>
      <c r="BE8" s="0" t="n">
        <v>0.8333</v>
      </c>
      <c r="BF8" s="0" t="n">
        <v>0.9167</v>
      </c>
      <c r="BH8" s="0" t="n">
        <v>0.1667</v>
      </c>
      <c r="BI8" s="0" t="n">
        <v>0.5</v>
      </c>
      <c r="BJ8" s="0" t="n">
        <v>0.6667</v>
      </c>
      <c r="BK8" s="0" t="n">
        <v>138319198000000</v>
      </c>
      <c r="BN8" s="0" t="n">
        <v>60233950000000</v>
      </c>
      <c r="BO8" s="0" t="n">
        <v>270161458000000</v>
      </c>
      <c r="BP8" s="0" t="n">
        <v>2527568193000000</v>
      </c>
      <c r="BQ8" s="0" t="n">
        <v>2234544953000000</v>
      </c>
      <c r="BS8" s="0" t="n">
        <v>394206929485824</v>
      </c>
      <c r="BT8" s="0" t="n">
        <v>548205532020736</v>
      </c>
      <c r="BU8" s="0" t="n">
        <v>92487999999</v>
      </c>
      <c r="BV8" s="0" t="n">
        <v>284593401000000</v>
      </c>
      <c r="BW8" s="0" t="n">
        <v>225867427000000</v>
      </c>
      <c r="BX8" s="0" t="n">
        <v>-44294031000000</v>
      </c>
      <c r="CB8" s="0" t="n">
        <v>70526905000000</v>
      </c>
      <c r="CC8" s="0" t="n">
        <v>-6449476000000</v>
      </c>
      <c r="CD8" s="0" t="n">
        <v>64077429000000</v>
      </c>
      <c r="CF8" s="0" t="n">
        <v>211843668000000</v>
      </c>
      <c r="CG8" s="0" t="n">
        <v>-0.06</v>
      </c>
      <c r="CK8" s="0" t="n">
        <v>0.162547698193885</v>
      </c>
      <c r="CN8" s="0" t="s">
        <v>446</v>
      </c>
      <c r="CS8" s="0" t="n">
        <v>0.0662533980201642</v>
      </c>
      <c r="CT8" s="0" t="n">
        <v>0.0662533980201642</v>
      </c>
      <c r="CU8" s="0" t="n">
        <v>0.109919237588006</v>
      </c>
      <c r="CV8" s="0" t="n">
        <v>0.109919237588006</v>
      </c>
      <c r="CY8" s="0" t="n">
        <v>0.194098770631336</v>
      </c>
      <c r="CZ8" s="0" t="n">
        <v>0.0736997424139146</v>
      </c>
      <c r="DA8" s="0" t="n">
        <v>5</v>
      </c>
      <c r="DB8" s="0" t="n">
        <v>4</v>
      </c>
      <c r="DC8" s="0" t="n">
        <v>1</v>
      </c>
      <c r="DD8" s="0" t="n">
        <v>1</v>
      </c>
      <c r="DE8" s="0" t="n">
        <v>0</v>
      </c>
      <c r="DF8" s="0" t="n">
        <v>1</v>
      </c>
      <c r="DG8" s="0" t="n">
        <v>1</v>
      </c>
      <c r="DI8" s="0" t="n">
        <v>1</v>
      </c>
      <c r="DK8" s="0" t="n">
        <v>0</v>
      </c>
      <c r="DL8" s="0" t="s">
        <v>447</v>
      </c>
      <c r="DM8" s="0" t="n">
        <v>5375</v>
      </c>
      <c r="DN8" s="0" t="n">
        <v>3650</v>
      </c>
      <c r="DO8" s="0" t="n">
        <v>-0.211162790697674</v>
      </c>
      <c r="DP8" s="0" t="n">
        <v>-0.094017094017094</v>
      </c>
      <c r="DQ8" s="0" t="n">
        <v>-0.0925974468349799</v>
      </c>
      <c r="DR8" s="0" t="n">
        <v>0.0339863115285385</v>
      </c>
      <c r="DS8" s="0" t="n">
        <v>0.4004</v>
      </c>
      <c r="DT8" s="0" t="n">
        <v>-0.469</v>
      </c>
      <c r="DU8" s="0" t="n">
        <v>121</v>
      </c>
      <c r="DV8" s="0" t="s">
        <v>448</v>
      </c>
      <c r="DW8" s="0" t="n">
        <v>0.45</v>
      </c>
      <c r="DX8" s="0" t="s">
        <v>300</v>
      </c>
      <c r="DY8" s="0" t="n">
        <v>1</v>
      </c>
      <c r="DZ8" s="0" t="s">
        <v>449</v>
      </c>
      <c r="EA8" s="0" t="s">
        <v>301</v>
      </c>
    </row>
    <row r="9" customFormat="false" ht="15" hidden="false" customHeight="false" outlineLevel="0" collapsed="false">
      <c r="A9" s="0" t="s">
        <v>48</v>
      </c>
      <c r="B9" s="0" t="n">
        <v>7.26738589208733</v>
      </c>
      <c r="C9" s="0" t="n">
        <v>12.1561057362909</v>
      </c>
      <c r="D9" s="0" t="n">
        <v>11.1351440008611</v>
      </c>
      <c r="E9" s="0" t="n">
        <v>8.60643795579243</v>
      </c>
      <c r="F9" s="0" t="n">
        <v>0.0822631870513098</v>
      </c>
      <c r="G9" s="0" t="n">
        <v>0.494551931764705</v>
      </c>
      <c r="H9" s="0" t="n">
        <v>0.653090559809294</v>
      </c>
      <c r="J9" s="0" t="n">
        <v>4.11659214939355</v>
      </c>
      <c r="K9" s="0" t="n">
        <v>6.55947176680997</v>
      </c>
      <c r="L9" s="0" t="n">
        <v>5.70821305822548</v>
      </c>
      <c r="N9" s="0" t="n">
        <v>-0.691614160259701</v>
      </c>
      <c r="P9" s="0" t="n">
        <v>1787.16773868971</v>
      </c>
      <c r="Q9" s="0" t="n">
        <v>2989.38302198236</v>
      </c>
      <c r="R9" s="0" t="n">
        <v>43928.6519119708</v>
      </c>
      <c r="S9" s="0" t="n">
        <v>4531.99385890874</v>
      </c>
      <c r="T9" s="0" t="n">
        <v>33264.911999867</v>
      </c>
      <c r="U9" s="0" t="n">
        <v>5277.42338188274</v>
      </c>
      <c r="V9" s="0" t="n">
        <v>3.64411962019332</v>
      </c>
      <c r="W9" s="0" t="n">
        <v>1.08547111433287</v>
      </c>
      <c r="X9" s="0" t="n">
        <v>0</v>
      </c>
      <c r="Z9" s="0" t="n">
        <v>0.215285793909433</v>
      </c>
      <c r="AA9" s="0" t="n">
        <v>0</v>
      </c>
      <c r="AB9" s="0" t="n">
        <v>1.21533463413531</v>
      </c>
      <c r="AC9" s="0" t="n">
        <v>45.2719646481884</v>
      </c>
      <c r="AD9" s="0" t="n">
        <v>3625914000000</v>
      </c>
      <c r="AE9" s="0" t="n">
        <v>10.5703697469141</v>
      </c>
      <c r="AF9" s="0" t="n">
        <v>0.0442061876408726</v>
      </c>
      <c r="AG9" s="0" t="n">
        <v>0.0537253108830365</v>
      </c>
      <c r="AH9" s="0" t="n">
        <v>0.0763529302557126</v>
      </c>
      <c r="AI9" s="0" t="n">
        <v>0.0549383445553412</v>
      </c>
      <c r="AJ9" s="0" t="n">
        <v>7.64474065111491</v>
      </c>
      <c r="AK9" s="0" t="n">
        <v>148.408862310151</v>
      </c>
      <c r="AL9" s="0" t="n">
        <v>3.46774580363411</v>
      </c>
      <c r="AM9" s="0" t="n">
        <v>152.585857157632</v>
      </c>
      <c r="AN9" s="0" t="n">
        <v>47.7452429922222</v>
      </c>
      <c r="AO9" s="0" t="n">
        <v>1.08658979635281</v>
      </c>
      <c r="AP9" s="0" t="n">
        <v>2.45942185876479</v>
      </c>
      <c r="AQ9" s="0" t="n">
        <v>0.13503485946899</v>
      </c>
      <c r="AR9" s="0" t="n">
        <v>0.0898301390471487</v>
      </c>
      <c r="AS9" s="0" t="n">
        <v>0.0682684995936294</v>
      </c>
      <c r="AT9" s="0" t="n">
        <v>-0.0868385104819218</v>
      </c>
      <c r="AU9" s="0" t="n">
        <v>0.41824803651183</v>
      </c>
      <c r="AW9" s="0" t="n">
        <v>800</v>
      </c>
      <c r="AX9" s="0" t="n">
        <v>800</v>
      </c>
      <c r="AY9" s="0" t="n">
        <v>0.3486</v>
      </c>
      <c r="AZ9" s="0" t="n">
        <v>0.0368</v>
      </c>
      <c r="BA9" s="0" t="s">
        <v>457</v>
      </c>
      <c r="BB9" s="0" t="n">
        <v>7</v>
      </c>
      <c r="BE9" s="0" t="n">
        <v>0.4167</v>
      </c>
      <c r="BF9" s="0" t="n">
        <v>0.25</v>
      </c>
      <c r="BG9" s="0" t="n">
        <v>0.5556</v>
      </c>
      <c r="BH9" s="0" t="n">
        <v>0.9167</v>
      </c>
      <c r="BI9" s="0" t="n">
        <v>0.9167</v>
      </c>
      <c r="BJ9" s="0" t="n">
        <v>1</v>
      </c>
      <c r="BK9" s="0" t="n">
        <v>84522592000000</v>
      </c>
      <c r="BL9" s="0" t="n">
        <v>10447843000000</v>
      </c>
      <c r="BM9" s="0" t="n">
        <v>5792172000000</v>
      </c>
      <c r="BN9" s="0" t="n">
        <v>3438668000000</v>
      </c>
      <c r="BO9" s="0" t="n">
        <v>8719955000000</v>
      </c>
      <c r="BP9" s="0" t="n">
        <v>77787029000000</v>
      </c>
      <c r="BQ9" s="0" t="n">
        <v>13779285000000</v>
      </c>
      <c r="BR9" s="0" t="n">
        <v>31124876000000</v>
      </c>
      <c r="BS9" s="0" t="n">
        <v>41800811151360</v>
      </c>
      <c r="BT9" s="0" t="n">
        <v>33062951845888</v>
      </c>
      <c r="BU9" s="0" t="n">
        <v>1924088000</v>
      </c>
      <c r="BV9" s="0" t="n">
        <v>64004618000000</v>
      </c>
      <c r="BW9" s="0" t="n">
        <v>0</v>
      </c>
      <c r="BX9" s="0" t="n">
        <v>-8719955000000</v>
      </c>
      <c r="BY9" s="0" t="n">
        <v>42896233000000</v>
      </c>
      <c r="BZ9" s="0" t="n">
        <v>11771357000000</v>
      </c>
      <c r="CA9" s="0" t="n">
        <v>5040490000000</v>
      </c>
      <c r="CC9" s="0" t="n">
        <v>-2070274000000</v>
      </c>
      <c r="CD9" s="0" t="n">
        <v>10154227000000</v>
      </c>
      <c r="CE9" s="0" t="n">
        <v>30118765000000</v>
      </c>
      <c r="CF9" s="0" t="n">
        <v>62822253000000</v>
      </c>
      <c r="CG9" s="0" t="n">
        <v>0.73</v>
      </c>
      <c r="CH9" s="0" t="n">
        <v>0.15245130027998</v>
      </c>
      <c r="CI9" s="0" t="n">
        <v>0.0879732423978567</v>
      </c>
      <c r="CJ9" s="0" t="n">
        <v>6.55947176680997</v>
      </c>
      <c r="CK9" s="0" t="n">
        <v>0.242919376928637</v>
      </c>
      <c r="CL9" s="0" t="n">
        <v>29116948000000</v>
      </c>
      <c r="CM9" s="0" t="n">
        <v>15132.8567092565</v>
      </c>
      <c r="CN9" s="0" t="s">
        <v>446</v>
      </c>
      <c r="CO9" s="0" t="n">
        <v>3370341500000</v>
      </c>
      <c r="CP9" s="0" t="n">
        <v>0.0309761963320547</v>
      </c>
      <c r="CQ9" s="0" t="n">
        <v>0.668653543603896</v>
      </c>
      <c r="CR9" s="0" t="n">
        <v>17525.7377545661</v>
      </c>
      <c r="CS9" s="0" t="n">
        <v>-0.105058177963525</v>
      </c>
      <c r="CT9" s="0" t="n">
        <v>-0.105058177963525</v>
      </c>
      <c r="CU9" s="0" t="n">
        <v>-0.175764269079255</v>
      </c>
      <c r="CV9" s="0" t="n">
        <v>-0.175764269079255</v>
      </c>
      <c r="CW9" s="0" t="n">
        <v>0.0978030064130986</v>
      </c>
      <c r="CX9" s="0" t="n">
        <v>0.0315184220995986</v>
      </c>
      <c r="CY9" s="0" t="n">
        <v>0.0364617406157967</v>
      </c>
      <c r="CZ9" s="0" t="n">
        <v>0.133696629907447</v>
      </c>
      <c r="DA9" s="0" t="n">
        <v>5</v>
      </c>
      <c r="DB9" s="0" t="n">
        <v>4</v>
      </c>
      <c r="DC9" s="0" t="n">
        <v>1</v>
      </c>
      <c r="DE9" s="0" t="n">
        <v>1</v>
      </c>
      <c r="DG9" s="0" t="n">
        <v>1</v>
      </c>
      <c r="DH9" s="0" t="n">
        <v>1</v>
      </c>
      <c r="DI9" s="0" t="n">
        <v>1</v>
      </c>
      <c r="DJ9" s="0" t="n">
        <v>1</v>
      </c>
      <c r="DK9" s="0" t="n">
        <v>1</v>
      </c>
      <c r="DL9" s="0" t="s">
        <v>447</v>
      </c>
      <c r="DM9" s="0" t="n">
        <v>21800</v>
      </c>
      <c r="DN9" s="0" t="n">
        <v>8300</v>
      </c>
      <c r="DO9" s="0" t="n">
        <v>-0.003440366972477</v>
      </c>
      <c r="DP9" s="0" t="n">
        <v>1.47578347578348</v>
      </c>
      <c r="DQ9" s="0" t="n">
        <v>-0.0227102020139078</v>
      </c>
      <c r="DR9" s="0" t="n">
        <v>-0.0829711569713905</v>
      </c>
      <c r="DS9" s="0" t="n">
        <v>0.1717</v>
      </c>
      <c r="DT9" s="0" t="n">
        <v>-0.9002</v>
      </c>
      <c r="DU9" s="0" t="n">
        <v>121</v>
      </c>
      <c r="DV9" s="0" t="s">
        <v>448</v>
      </c>
      <c r="DW9" s="0" t="n">
        <v>0.45</v>
      </c>
      <c r="DX9" s="0" t="s">
        <v>300</v>
      </c>
      <c r="DY9" s="0" t="n">
        <v>1</v>
      </c>
      <c r="DZ9" s="0" t="s">
        <v>449</v>
      </c>
      <c r="EA9" s="0" t="s">
        <v>301</v>
      </c>
    </row>
    <row r="10" customFormat="false" ht="15" hidden="false" customHeight="false" outlineLevel="0" collapsed="false">
      <c r="A10" s="0" t="s">
        <v>45</v>
      </c>
      <c r="B10" s="0" t="n">
        <v>7.15243154349031</v>
      </c>
      <c r="C10" s="0" t="n">
        <v>8.6589213706021</v>
      </c>
      <c r="D10" s="0" t="n">
        <v>6.10539923843498</v>
      </c>
      <c r="E10" s="0" t="n">
        <v>8.60643795579243</v>
      </c>
      <c r="F10" s="0" t="n">
        <v>0.115487825469244</v>
      </c>
      <c r="G10" s="0" t="n">
        <v>0.824931205381527</v>
      </c>
      <c r="H10" s="0" t="n">
        <v>0.815850091763179</v>
      </c>
      <c r="J10" s="0" t="n">
        <v>7.54322383537262</v>
      </c>
      <c r="K10" s="0" t="n">
        <v>5.34918565140985</v>
      </c>
      <c r="L10" s="0" t="n">
        <v>4.72377720049651</v>
      </c>
      <c r="M10" s="0" t="n">
        <v>-0.546530792464691</v>
      </c>
      <c r="N10" s="0" t="n">
        <v>-0.189006569333406</v>
      </c>
      <c r="P10" s="0" t="n">
        <v>2901.63161491475</v>
      </c>
      <c r="Q10" s="0" t="n">
        <v>3512.79139789421</v>
      </c>
      <c r="R10" s="0" t="n">
        <v>30457.0849003287</v>
      </c>
      <c r="S10" s="0" t="n">
        <v>12001.3572995081</v>
      </c>
      <c r="T10" s="0" t="n">
        <v>30796.0987608655</v>
      </c>
      <c r="U10" s="0" t="n">
        <v>3330.80395167599</v>
      </c>
      <c r="V10" s="0" t="n">
        <v>3.61289036073749</v>
      </c>
      <c r="W10" s="0" t="n">
        <v>3.36455431446288</v>
      </c>
      <c r="X10" s="0" t="n">
        <v>0.0425374776896781</v>
      </c>
      <c r="Y10" s="0" t="n">
        <v>0.0153321851754105</v>
      </c>
      <c r="Z10" s="0" t="n">
        <v>0.250423257187027</v>
      </c>
      <c r="AA10" s="0" t="n">
        <v>0.0339115545276806</v>
      </c>
      <c r="AB10" s="0" t="n">
        <v>1.25436531241753</v>
      </c>
      <c r="AC10" s="0" t="n">
        <v>32.4360510260677</v>
      </c>
      <c r="AD10" s="0" t="n">
        <v>950592456000</v>
      </c>
      <c r="AE10" s="0" t="n">
        <v>9.4828366478951</v>
      </c>
      <c r="AF10" s="0" t="n">
        <v>0.0751142845500261</v>
      </c>
      <c r="AG10" s="0" t="n">
        <v>0.0942207530066125</v>
      </c>
      <c r="AH10" s="0" t="n">
        <v>0.141503275406601</v>
      </c>
      <c r="AI10" s="0" t="n">
        <v>0.0970870802997606</v>
      </c>
      <c r="AJ10" s="0" t="n">
        <v>25.1259830352585</v>
      </c>
      <c r="AK10" s="0" t="n">
        <v>21.669625856682</v>
      </c>
      <c r="AL10" s="0" t="n">
        <v>35.5400733653124</v>
      </c>
      <c r="AM10" s="0" t="n">
        <v>11.2555355266281</v>
      </c>
      <c r="AN10" s="0" t="n">
        <v>14.5267948118809</v>
      </c>
      <c r="AO10" s="0" t="n">
        <v>0.788439900505704</v>
      </c>
      <c r="AP10" s="0" t="n">
        <v>16.8438533463396</v>
      </c>
      <c r="AQ10" s="0" t="n">
        <v>0.266798907505773</v>
      </c>
      <c r="AR10" s="0" t="n">
        <v>0.153318983795473</v>
      </c>
      <c r="AS10" s="0" t="n">
        <v>0.109880480810005</v>
      </c>
      <c r="AT10" s="0" t="n">
        <v>0.0312134727138581</v>
      </c>
      <c r="AU10" s="0" t="n">
        <v>-0.0191872922053934</v>
      </c>
      <c r="AV10" s="0" t="n">
        <v>-0.158434282020103</v>
      </c>
      <c r="AW10" s="0" t="n">
        <v>1730</v>
      </c>
      <c r="AX10" s="0" t="n">
        <v>1730</v>
      </c>
      <c r="AY10" s="0" t="n">
        <v>1.1162</v>
      </c>
      <c r="AZ10" s="0" t="n">
        <v>0.0689</v>
      </c>
      <c r="BA10" s="0" t="s">
        <v>451</v>
      </c>
      <c r="BB10" s="0" t="n">
        <v>3</v>
      </c>
      <c r="BE10" s="0" t="n">
        <v>0.3333</v>
      </c>
      <c r="BF10" s="0" t="n">
        <v>0.4167</v>
      </c>
      <c r="BG10" s="0" t="n">
        <v>0.8889</v>
      </c>
      <c r="BH10" s="0" t="n">
        <v>0.5833</v>
      </c>
      <c r="BI10" s="0" t="n">
        <v>0.8333</v>
      </c>
      <c r="BJ10" s="0" t="n">
        <v>0.8333</v>
      </c>
      <c r="BK10" s="0" t="n">
        <v>33956576544000</v>
      </c>
      <c r="BL10" s="0" t="n">
        <v>8600137920000</v>
      </c>
      <c r="BM10" s="0" t="n">
        <v>5929786500000</v>
      </c>
      <c r="BN10" s="0" t="n">
        <v>3235026476000</v>
      </c>
      <c r="BO10" s="0" t="n">
        <v>13380302452000</v>
      </c>
      <c r="BP10" s="0" t="n">
        <v>43068059496000</v>
      </c>
      <c r="BQ10" s="0" t="n">
        <v>8598168040000</v>
      </c>
      <c r="BR10" s="0" t="n">
        <v>15839017128000</v>
      </c>
      <c r="BS10" s="0" t="n">
        <v>28011839619072</v>
      </c>
      <c r="BT10" s="0" t="n">
        <v>28010990272512</v>
      </c>
      <c r="BU10" s="0" t="n">
        <v>1114899100</v>
      </c>
      <c r="BV10" s="0" t="n">
        <v>34334542792000</v>
      </c>
      <c r="BW10" s="0" t="n">
        <v>1460504848000</v>
      </c>
      <c r="BX10" s="0" t="n">
        <v>-11919797604000</v>
      </c>
      <c r="BY10" s="0" t="n">
        <v>21900893036000</v>
      </c>
      <c r="BZ10" s="0" t="n">
        <v>6061875908000</v>
      </c>
      <c r="CA10" s="0" t="n">
        <v>5236496188000</v>
      </c>
      <c r="CC10" s="0" t="n">
        <v>-1743898948000</v>
      </c>
      <c r="CD10" s="0" t="n">
        <v>3713510328000</v>
      </c>
      <c r="CE10" s="0" t="n">
        <v>1505382296000</v>
      </c>
      <c r="CF10" s="0" t="n">
        <v>27219031796000</v>
      </c>
      <c r="CG10" s="0" t="n">
        <v>-0.646</v>
      </c>
      <c r="CH10" s="0" t="n">
        <v>0.186944343525717</v>
      </c>
      <c r="CI10" s="0" t="n">
        <v>0.221642365753753</v>
      </c>
      <c r="CJ10" s="0" t="n">
        <v>5.34918565140985</v>
      </c>
      <c r="CK10" s="0" t="n">
        <v>0.132569312779859</v>
      </c>
      <c r="CL10" s="0" t="n">
        <v>13302724996000</v>
      </c>
      <c r="CM10" s="0" t="n">
        <v>11931.7748090388</v>
      </c>
      <c r="CN10" s="0" t="s">
        <v>446</v>
      </c>
      <c r="CO10" s="0" t="n">
        <v>10247342622000</v>
      </c>
      <c r="CP10" s="0" t="n">
        <v>0.244601193636333</v>
      </c>
      <c r="CQ10" s="0" t="n">
        <v>1.95690825584537</v>
      </c>
      <c r="CR10" s="0" t="n">
        <v>70434.6470877948</v>
      </c>
      <c r="CS10" s="0" t="n">
        <v>-0.197235679904852</v>
      </c>
      <c r="CT10" s="0" t="n">
        <v>-0.197235679904852</v>
      </c>
      <c r="CU10" s="0" t="n">
        <v>-0.458128064074208</v>
      </c>
      <c r="CV10" s="0" t="n">
        <v>-0.458128064074208</v>
      </c>
      <c r="CW10" s="0" t="n">
        <v>0.307988501637491</v>
      </c>
      <c r="CX10" s="0" t="n">
        <v>0.244184273045981</v>
      </c>
      <c r="CY10" s="0" t="n">
        <v>0.236965732945893</v>
      </c>
      <c r="CZ10" s="0" t="n">
        <v>0.257133053868972</v>
      </c>
      <c r="DA10" s="0" t="n">
        <v>5</v>
      </c>
      <c r="DB10" s="0" t="n">
        <v>4</v>
      </c>
      <c r="DC10" s="0" t="n">
        <v>1</v>
      </c>
      <c r="DE10" s="0" t="n">
        <v>0</v>
      </c>
      <c r="DG10" s="0" t="n">
        <v>1</v>
      </c>
      <c r="DH10" s="0" t="n">
        <v>0</v>
      </c>
      <c r="DI10" s="0" t="n">
        <v>1</v>
      </c>
      <c r="DJ10" s="0" t="n">
        <v>0</v>
      </c>
      <c r="DK10" s="0" t="n">
        <v>0</v>
      </c>
      <c r="DL10" s="0" t="s">
        <v>447</v>
      </c>
      <c r="DM10" s="0" t="n">
        <v>30700</v>
      </c>
      <c r="DN10" s="0" t="n">
        <v>20900</v>
      </c>
      <c r="DO10" s="0" t="n">
        <v>-0.181596091205212</v>
      </c>
      <c r="DP10" s="0" t="n">
        <v>0.0864864864864864</v>
      </c>
      <c r="DQ10" s="0" t="n">
        <v>-0.0179124037351934</v>
      </c>
      <c r="DR10" s="0" t="n">
        <v>0.0306956991835976</v>
      </c>
      <c r="DS10" s="0" t="n">
        <v>0.475</v>
      </c>
      <c r="DT10" s="0" t="n">
        <v>-0.7695</v>
      </c>
      <c r="DU10" s="0" t="n">
        <v>121</v>
      </c>
      <c r="DV10" s="0" t="s">
        <v>450</v>
      </c>
      <c r="DW10" s="0" t="n">
        <v>1.45</v>
      </c>
      <c r="DX10" s="0" t="s">
        <v>452</v>
      </c>
      <c r="DY10" s="0" t="n">
        <v>17908</v>
      </c>
      <c r="DZ10" s="0" t="s">
        <v>449</v>
      </c>
      <c r="EA10" s="0" t="s">
        <v>301</v>
      </c>
    </row>
    <row r="11" customFormat="false" ht="15" hidden="false" customHeight="false" outlineLevel="0" collapsed="false">
      <c r="A11" s="0" t="s">
        <v>46</v>
      </c>
      <c r="B11" s="0" t="n">
        <v>8.5087399851614</v>
      </c>
      <c r="C11" s="0" t="n">
        <v>8.60643795579243</v>
      </c>
      <c r="D11" s="0" t="n">
        <v>5.79589640752244</v>
      </c>
      <c r="E11" s="0" t="n">
        <v>8.60643795579243</v>
      </c>
      <c r="F11" s="0" t="n">
        <v>0.116192088426893</v>
      </c>
      <c r="G11" s="0" t="n">
        <v>0.654357497484254</v>
      </c>
      <c r="H11" s="0" t="n">
        <v>1.15959846592059</v>
      </c>
      <c r="J11" s="0" t="n">
        <v>9.61540349140485</v>
      </c>
      <c r="K11" s="0" t="n">
        <v>6.02326094968346</v>
      </c>
      <c r="L11" s="0" t="n">
        <v>5.62395051784173</v>
      </c>
      <c r="M11" s="0" t="n">
        <v>-0.150460427232368</v>
      </c>
      <c r="N11" s="0" t="n">
        <v>-0.223814009229583</v>
      </c>
      <c r="P11" s="0" t="n">
        <v>275.375249571736</v>
      </c>
      <c r="Q11" s="0" t="n">
        <v>278.537128192083</v>
      </c>
      <c r="R11" s="0" t="n">
        <v>3621.87312002234</v>
      </c>
      <c r="S11" s="0" t="n">
        <v>364.088494980512</v>
      </c>
      <c r="T11" s="0" t="n">
        <v>2043.8109135635</v>
      </c>
      <c r="U11" s="0" t="n">
        <v>246.479498561016</v>
      </c>
      <c r="V11" s="0" t="n">
        <v>1.26789167911944</v>
      </c>
      <c r="W11" s="0" t="n">
        <v>0.939396095297105</v>
      </c>
      <c r="X11" s="0" t="n">
        <v>0.115565693681119</v>
      </c>
      <c r="Y11" s="0" t="n">
        <v>0.0867049822316747</v>
      </c>
      <c r="Z11" s="0" t="n">
        <v>0.831068310434519</v>
      </c>
      <c r="AA11" s="0" t="n">
        <v>0.0629131977443543</v>
      </c>
      <c r="AB11" s="0" t="n">
        <v>1.83690700559708</v>
      </c>
      <c r="AC11" s="0" t="n">
        <v>24.756479289076</v>
      </c>
      <c r="AD11" s="0" t="n">
        <v>1144204000000</v>
      </c>
      <c r="AE11" s="0" t="n">
        <v>2.8353029930305</v>
      </c>
      <c r="AF11" s="0" t="n">
        <v>0.0733494766372993</v>
      </c>
      <c r="AG11" s="0" t="n">
        <v>0.134736167491934</v>
      </c>
      <c r="AH11" s="0" t="n">
        <v>0.128553529017314</v>
      </c>
      <c r="AI11" s="0" t="n">
        <v>0.130603644204024</v>
      </c>
      <c r="AJ11" s="0" t="n">
        <v>42.3675629846396</v>
      </c>
      <c r="AK11" s="0" t="n">
        <v>35.0251428770981</v>
      </c>
      <c r="AL11" s="0" t="n">
        <v>21.5364031922929</v>
      </c>
      <c r="AM11" s="0" t="n">
        <v>55.8563026694447</v>
      </c>
      <c r="AN11" s="0" t="n">
        <v>8.61508130954644</v>
      </c>
      <c r="AO11" s="0" t="n">
        <v>0.96472903143438</v>
      </c>
      <c r="AP11" s="0" t="n">
        <v>10.4210852552628</v>
      </c>
      <c r="AQ11" s="0" t="n">
        <v>0.155470817813429</v>
      </c>
      <c r="AR11" s="0" t="n">
        <v>0.0803970141359445</v>
      </c>
      <c r="AS11" s="0" t="n">
        <v>0.0807468728731781</v>
      </c>
      <c r="AT11" s="0" t="n">
        <v>-0.179974126757417</v>
      </c>
      <c r="AU11" s="0" t="n">
        <v>-0.404855354417433</v>
      </c>
      <c r="AV11" s="0" t="n">
        <v>-0.572006747162882</v>
      </c>
      <c r="AW11" s="0" t="n">
        <v>114.51</v>
      </c>
      <c r="AX11" s="0" t="n">
        <v>114.51</v>
      </c>
      <c r="AY11" s="0" t="n">
        <v>1.1463</v>
      </c>
      <c r="AZ11" s="0" t="n">
        <v>0.048299998</v>
      </c>
      <c r="BA11" s="0" t="s">
        <v>458</v>
      </c>
      <c r="BB11" s="0" t="n">
        <v>2</v>
      </c>
      <c r="BE11" s="0" t="n">
        <v>0.25</v>
      </c>
      <c r="BF11" s="0" t="n">
        <v>0.5</v>
      </c>
      <c r="BG11" s="0" t="n">
        <v>0.7778</v>
      </c>
      <c r="BH11" s="0" t="n">
        <v>0.75</v>
      </c>
      <c r="BI11" s="0" t="n">
        <v>0.5833</v>
      </c>
      <c r="BJ11" s="0" t="n">
        <v>0.5833</v>
      </c>
      <c r="BK11" s="0" t="n">
        <v>41703541000000</v>
      </c>
      <c r="BL11" s="0" t="n">
        <v>6481836000000</v>
      </c>
      <c r="BM11" s="0" t="n">
        <v>4535127000000</v>
      </c>
      <c r="BN11" s="0" t="n">
        <v>3170769000000</v>
      </c>
      <c r="BO11" s="0" t="n">
        <v>4192245000000</v>
      </c>
      <c r="BP11" s="0" t="n">
        <v>43228243000000</v>
      </c>
      <c r="BQ11" s="0" t="n">
        <v>19557671000000</v>
      </c>
      <c r="BR11" s="0" t="n">
        <v>2756304000000</v>
      </c>
      <c r="BS11" s="0" t="n">
        <v>27289024724992</v>
      </c>
      <c r="BT11" s="0" t="n">
        <v>25505329840128</v>
      </c>
      <c r="BU11" s="0" t="n">
        <v>11514357245</v>
      </c>
      <c r="BV11" s="0" t="n">
        <v>23533169000000</v>
      </c>
      <c r="BW11" s="0" t="n">
        <v>2719627000000</v>
      </c>
      <c r="BX11" s="0" t="n">
        <v>-1472618000000</v>
      </c>
      <c r="BY11" s="0" t="n">
        <v>13045179000000</v>
      </c>
      <c r="BZ11" s="0" t="n">
        <v>10288875000000</v>
      </c>
      <c r="CA11" s="0" t="n">
        <v>4234472000000</v>
      </c>
      <c r="CC11" s="0" t="n">
        <v>-3503174000000</v>
      </c>
      <c r="CD11" s="0" t="n">
        <v>2838053000000</v>
      </c>
      <c r="CE11" s="0" t="n">
        <v>3379850000000</v>
      </c>
      <c r="CF11" s="0" t="n">
        <v>6568137000000</v>
      </c>
      <c r="CG11" s="0" t="n">
        <v>-0.342</v>
      </c>
      <c r="CH11" s="0" t="n">
        <v>0.166023024463609</v>
      </c>
      <c r="CI11" s="0" t="n">
        <v>0.140292980195781</v>
      </c>
      <c r="CJ11" s="0" t="n">
        <v>6.02326094968346</v>
      </c>
      <c r="CK11" s="0" t="n">
        <v>0.103999795837366</v>
      </c>
      <c r="CL11" s="0" t="n">
        <v>-6512492000000</v>
      </c>
      <c r="CM11" s="0" t="n">
        <v>-565.597528496694</v>
      </c>
      <c r="CN11" s="0" t="s">
        <v>446</v>
      </c>
      <c r="CO11" s="0" t="n">
        <v>7351906000000</v>
      </c>
      <c r="CP11" s="0" t="n">
        <v>0.172376997346106</v>
      </c>
      <c r="CQ11" s="0" t="n">
        <v>1.73620371087588</v>
      </c>
      <c r="CR11" s="0" t="n">
        <v>4278.13780238499</v>
      </c>
      <c r="CS11" s="0" t="n">
        <v>2.44941527693943E-005</v>
      </c>
      <c r="CT11" s="0" t="n">
        <v>2.44941527693943E-005</v>
      </c>
      <c r="CU11" s="0" t="n">
        <v>-0.384535265929853</v>
      </c>
      <c r="CV11" s="0" t="n">
        <v>-0.384535265929853</v>
      </c>
      <c r="CW11" s="0" t="n">
        <v>0.214859142429601</v>
      </c>
      <c r="CX11" s="0" t="n">
        <v>0.1826569491368</v>
      </c>
      <c r="CY11" s="0" t="n">
        <v>0.25581966601917</v>
      </c>
      <c r="CZ11" s="0" t="n">
        <v>0.0436871078018929</v>
      </c>
      <c r="DA11" s="0" t="n">
        <v>5</v>
      </c>
      <c r="DB11" s="0" t="n">
        <v>4</v>
      </c>
      <c r="DC11" s="0" t="n">
        <v>1</v>
      </c>
      <c r="DE11" s="0" t="n">
        <v>0</v>
      </c>
      <c r="DG11" s="0" t="n">
        <v>0</v>
      </c>
      <c r="DH11" s="0" t="n">
        <v>0</v>
      </c>
      <c r="DI11" s="0" t="n">
        <v>1</v>
      </c>
      <c r="DJ11" s="0" t="n">
        <v>0</v>
      </c>
      <c r="DK11" s="0" t="n">
        <v>0</v>
      </c>
      <c r="DL11" s="0" t="s">
        <v>447</v>
      </c>
      <c r="DM11" s="0" t="n">
        <v>3220</v>
      </c>
      <c r="DN11" s="0" t="n">
        <v>2170</v>
      </c>
      <c r="DO11" s="0" t="n">
        <v>-0.263975155279503</v>
      </c>
      <c r="DP11" s="0" t="n">
        <v>-0.0125</v>
      </c>
      <c r="DQ11" s="0" t="n">
        <v>-0.0150090920332747</v>
      </c>
      <c r="DR11" s="0" t="n">
        <v>-0.0242856093013205</v>
      </c>
      <c r="DS11" s="0" t="n">
        <v>0.1864</v>
      </c>
      <c r="DT11" s="0" t="n">
        <v>-0.5815</v>
      </c>
      <c r="DU11" s="0" t="n">
        <v>121</v>
      </c>
      <c r="DV11" s="0" t="s">
        <v>450</v>
      </c>
      <c r="DW11" s="0" t="n">
        <v>1.45</v>
      </c>
      <c r="DX11" s="0" t="s">
        <v>300</v>
      </c>
      <c r="DY11" s="0" t="n">
        <v>1</v>
      </c>
      <c r="DZ11" s="0" t="s">
        <v>449</v>
      </c>
      <c r="EA11" s="0" t="s">
        <v>301</v>
      </c>
    </row>
    <row r="12" customFormat="false" ht="15" hidden="false" customHeight="false" outlineLevel="0" collapsed="false">
      <c r="A12" s="0" t="s">
        <v>50</v>
      </c>
      <c r="B12" s="0" t="n">
        <v>10.6368191417937</v>
      </c>
      <c r="C12" s="0" t="n">
        <v>15.5920596221133</v>
      </c>
      <c r="D12" s="0" t="n">
        <v>10.3787675692237</v>
      </c>
      <c r="E12" s="0" t="n">
        <v>8.60643795579243</v>
      </c>
      <c r="F12" s="0" t="n">
        <v>0.064135208832947</v>
      </c>
      <c r="G12" s="0" t="n">
        <v>1.78560012155278</v>
      </c>
      <c r="H12" s="0" t="n">
        <v>2.25764875026654</v>
      </c>
      <c r="J12" s="0" t="n">
        <v>6.58957002087317</v>
      </c>
      <c r="K12" s="0" t="n">
        <v>8.60294220509757</v>
      </c>
      <c r="L12" s="0" t="n">
        <v>4.13696299571016</v>
      </c>
      <c r="M12" s="0" t="n">
        <v>0.722917306536943</v>
      </c>
      <c r="N12" s="0" t="n">
        <v>-2.82264007362612</v>
      </c>
      <c r="P12" s="0" t="n">
        <v>173.806415937286</v>
      </c>
      <c r="Q12" s="0" t="n">
        <v>254.775413953594</v>
      </c>
      <c r="R12" s="0" t="n">
        <v>1517.69701919418</v>
      </c>
      <c r="S12" s="0" t="n">
        <v>553.646572629926</v>
      </c>
      <c r="T12" s="0" t="n">
        <v>1200.36387399947</v>
      </c>
      <c r="U12" s="0" t="n">
        <v>411.255965619789</v>
      </c>
      <c r="V12" s="0" t="n">
        <v>0.790675863146994</v>
      </c>
      <c r="W12" s="0" t="n">
        <v>0.782977393071377</v>
      </c>
      <c r="X12" s="0" t="n">
        <v>0.683537136724329</v>
      </c>
      <c r="Y12" s="0" t="n">
        <v>0.233426009650731</v>
      </c>
      <c r="Z12" s="0" t="n">
        <v>1.42174203307615</v>
      </c>
      <c r="AA12" s="0" t="n">
        <v>0.266870568516631</v>
      </c>
      <c r="AB12" s="0" t="n">
        <v>2.56130580649523</v>
      </c>
      <c r="AC12" s="0" t="n">
        <v>7.7176724137931</v>
      </c>
      <c r="AD12" s="0" t="n">
        <v>11206000000000</v>
      </c>
      <c r="AE12" s="0" t="n">
        <v>1.99891761988693</v>
      </c>
      <c r="AF12" s="0" t="n">
        <v>0.0565316229333491</v>
      </c>
      <c r="AG12" s="0" t="n">
        <v>0.144794774069786</v>
      </c>
      <c r="AH12" s="0" t="n">
        <v>0.178399732973312</v>
      </c>
      <c r="AI12" s="0" t="n">
        <v>0.157649795473124</v>
      </c>
      <c r="AJ12" s="0" t="n">
        <v>28.7235990803123</v>
      </c>
      <c r="AK12" s="0" t="n">
        <v>5.80358764301136</v>
      </c>
      <c r="AL12" s="0" t="n">
        <v>98.2780120664259</v>
      </c>
      <c r="AM12" s="0" t="n">
        <v>-63.7508253431023</v>
      </c>
      <c r="AN12" s="0" t="n">
        <v>12.7073212162392</v>
      </c>
      <c r="AO12" s="0" t="n">
        <v>0.4936404398737</v>
      </c>
      <c r="AP12" s="0" t="n">
        <v>62.8921319796954</v>
      </c>
      <c r="AQ12" s="0" t="n">
        <v>0.680865362247667</v>
      </c>
      <c r="AR12" s="0" t="n">
        <v>0.287316808395151</v>
      </c>
      <c r="AS12" s="0" t="n">
        <v>0.162294192147639</v>
      </c>
      <c r="AT12" s="0" t="n">
        <v>0.06390760346487</v>
      </c>
      <c r="AU12" s="0" t="n">
        <v>0.0938460260775683</v>
      </c>
      <c r="AV12" s="0" t="n">
        <v>0.21568247821878</v>
      </c>
      <c r="AW12" s="0" t="n">
        <v>223.17</v>
      </c>
      <c r="AX12" s="0" t="n">
        <v>223.17</v>
      </c>
      <c r="AY12" s="0" t="n">
        <v>1.2516</v>
      </c>
      <c r="AZ12" s="0" t="n">
        <v>0.08229999</v>
      </c>
      <c r="BA12" s="0" t="s">
        <v>459</v>
      </c>
      <c r="BB12" s="0" t="n">
        <v>3</v>
      </c>
      <c r="BE12" s="0" t="n">
        <v>0.75</v>
      </c>
      <c r="BF12" s="0" t="n">
        <v>0.0833</v>
      </c>
      <c r="BG12" s="0" t="n">
        <v>0.3333</v>
      </c>
      <c r="BH12" s="0" t="n">
        <v>0.5</v>
      </c>
      <c r="BI12" s="0" t="n">
        <v>0.3333</v>
      </c>
      <c r="BJ12" s="0" t="n">
        <v>0.25</v>
      </c>
      <c r="BK12" s="0" t="n">
        <v>149616000000000</v>
      </c>
      <c r="BL12" s="0" t="n">
        <v>100057000000000</v>
      </c>
      <c r="BM12" s="0" t="n">
        <v>74468000000000</v>
      </c>
      <c r="BN12" s="0" t="n">
        <v>17134000000000</v>
      </c>
      <c r="BO12" s="0" t="n">
        <v>54579000000000</v>
      </c>
      <c r="BP12" s="0" t="n">
        <v>303087000000000</v>
      </c>
      <c r="BQ12" s="0" t="n">
        <v>168239000000000</v>
      </c>
      <c r="BR12" s="0" t="n">
        <v>-21426000000000</v>
      </c>
      <c r="BS12" s="0" t="n">
        <v>267154347786240</v>
      </c>
      <c r="BT12" s="0" t="n">
        <v>308071360364544</v>
      </c>
      <c r="BU12" s="0" t="n">
        <v>98580940799</v>
      </c>
      <c r="BV12" s="0" t="n">
        <v>118333000000000</v>
      </c>
      <c r="BW12" s="0" t="n">
        <v>80885000000000</v>
      </c>
      <c r="BX12" s="0" t="n">
        <v>26306000000000</v>
      </c>
      <c r="BY12" s="0" t="n">
        <v>80932000000000</v>
      </c>
      <c r="BZ12" s="0" t="n">
        <v>102358000000000</v>
      </c>
      <c r="CA12" s="0" t="n">
        <v>35810000000000</v>
      </c>
      <c r="CC12" s="0" t="n">
        <v>-25589000000000</v>
      </c>
      <c r="CD12" s="0" t="n">
        <v>40542000000000</v>
      </c>
      <c r="CE12" s="0" t="n">
        <v>788000000000</v>
      </c>
      <c r="CF12" s="0" t="n">
        <v>86478000000000</v>
      </c>
      <c r="CG12" s="0" t="n">
        <v>0.112</v>
      </c>
      <c r="CH12" s="0" t="n">
        <v>0.116239302340944</v>
      </c>
      <c r="CI12" s="0" t="n">
        <v>0.161193761112737</v>
      </c>
      <c r="CJ12" s="0" t="n">
        <v>8.60294220509757</v>
      </c>
      <c r="CK12" s="0" t="n">
        <v>0.151754969873966</v>
      </c>
      <c r="CL12" s="0" t="n">
        <v>-87307000000000</v>
      </c>
      <c r="CM12" s="0" t="n">
        <v>-885.637723604334</v>
      </c>
      <c r="CN12" s="0" t="s">
        <v>446</v>
      </c>
      <c r="CO12" s="0" t="n">
        <v>41674000000000</v>
      </c>
      <c r="CP12" s="0" t="n">
        <v>0.28108538320934</v>
      </c>
      <c r="CQ12" s="0" t="n">
        <v>1.16375314158056</v>
      </c>
      <c r="CR12" s="0" t="n">
        <v>2336.28408629037</v>
      </c>
      <c r="CS12" s="0" t="n">
        <v>-0.0012778871708397</v>
      </c>
      <c r="CT12" s="0" t="n">
        <v>-0.0012778871708397</v>
      </c>
      <c r="CU12" s="0" t="n">
        <v>-0.0552392767600826</v>
      </c>
      <c r="CV12" s="0" t="n">
        <v>-0.0552392767600826</v>
      </c>
      <c r="CW12" s="0" t="n">
        <v>0.685281013829083</v>
      </c>
      <c r="CX12" s="0" t="n">
        <v>0.2803274592459</v>
      </c>
      <c r="CY12" s="0" t="n">
        <v>0.163932868407656</v>
      </c>
      <c r="CZ12" s="0" t="n">
        <v>0.0089408683679804</v>
      </c>
      <c r="DA12" s="0" t="n">
        <v>5</v>
      </c>
      <c r="DB12" s="0" t="n">
        <v>4</v>
      </c>
      <c r="DC12" s="0" t="n">
        <v>1</v>
      </c>
      <c r="DE12" s="0" t="n">
        <v>0</v>
      </c>
      <c r="DG12" s="0" t="n">
        <v>0</v>
      </c>
      <c r="DH12" s="0" t="n">
        <v>1</v>
      </c>
      <c r="DI12" s="0" t="n">
        <v>1</v>
      </c>
      <c r="DJ12" s="0" t="n">
        <v>0</v>
      </c>
      <c r="DK12" s="0" t="n">
        <v>0</v>
      </c>
      <c r="DL12" s="0" t="s">
        <v>447</v>
      </c>
      <c r="DM12" s="0" t="n">
        <v>3990</v>
      </c>
      <c r="DN12" s="0" t="n">
        <v>2350</v>
      </c>
      <c r="DO12" s="0" t="n">
        <v>-0.320802005012531</v>
      </c>
      <c r="DP12" s="0" t="n">
        <v>-0.0813559322033898</v>
      </c>
      <c r="DQ12" s="0" t="n">
        <v>-0.0808608012244959</v>
      </c>
      <c r="DR12" s="0" t="n">
        <v>-0.0653755483500172</v>
      </c>
      <c r="DS12" s="0" t="n">
        <v>0.1538</v>
      </c>
      <c r="DT12" s="0" t="n">
        <v>-0.4989</v>
      </c>
      <c r="DU12" s="0" t="n">
        <v>121</v>
      </c>
      <c r="DV12" s="0" t="s">
        <v>448</v>
      </c>
      <c r="DW12" s="0" t="n">
        <v>0.45</v>
      </c>
      <c r="DX12" s="0" t="s">
        <v>300</v>
      </c>
      <c r="DY12" s="0" t="n">
        <v>1</v>
      </c>
      <c r="DZ12" s="0" t="s">
        <v>449</v>
      </c>
      <c r="EA12" s="0" t="s">
        <v>301</v>
      </c>
    </row>
    <row r="13" customFormat="false" ht="15" hidden="false" customHeight="false" outlineLevel="0" collapsed="false">
      <c r="A13" s="0" t="s">
        <v>51</v>
      </c>
      <c r="B13" s="0" t="n">
        <v>20.8437396290659</v>
      </c>
      <c r="C13" s="0" t="n">
        <v>8.43632681338841</v>
      </c>
      <c r="D13" s="0" t="n">
        <v>17.1310240963855</v>
      </c>
      <c r="E13" s="0" t="n">
        <v>8.60643795579243</v>
      </c>
      <c r="F13" s="0" t="n">
        <v>0.118535000139279</v>
      </c>
      <c r="G13" s="0" t="n">
        <v>2.30655408951936</v>
      </c>
      <c r="H13" s="0" t="n">
        <v>22.8678854803521</v>
      </c>
      <c r="J13" s="0" t="n">
        <v>26.6054569956558</v>
      </c>
      <c r="K13" s="0" t="n">
        <v>16.577290002485</v>
      </c>
      <c r="L13" s="0" t="n">
        <v>15.8422868993058</v>
      </c>
      <c r="M13" s="0" t="n">
        <v>-0.255678870685866</v>
      </c>
      <c r="N13" s="0" t="n">
        <v>0.674200982397785</v>
      </c>
      <c r="P13" s="0" t="n">
        <v>215.733700253488</v>
      </c>
      <c r="Q13" s="0" t="n">
        <v>87.3163852738821</v>
      </c>
      <c r="R13" s="0" t="n">
        <v>789.055867756669</v>
      </c>
      <c r="S13" s="0" t="n">
        <v>45.7259243343212</v>
      </c>
      <c r="T13" s="0" t="n">
        <v>79.5875946450638</v>
      </c>
      <c r="U13" s="0" t="n">
        <v>68.4070203691885</v>
      </c>
      <c r="V13" s="0" t="n">
        <v>0.571402395648755</v>
      </c>
      <c r="W13" s="0" t="n">
        <v>0.379588742939987</v>
      </c>
      <c r="X13" s="0" t="n">
        <v>0.181023112409377</v>
      </c>
      <c r="Z13" s="0" t="n">
        <v>4.44354753071206</v>
      </c>
      <c r="AA13" s="0" t="n">
        <v>0.0332546214372262</v>
      </c>
      <c r="AB13" s="0" t="n">
        <v>5.44354753071206</v>
      </c>
      <c r="AC13" s="0" t="n">
        <v>60.8513519533164</v>
      </c>
      <c r="AD13" s="0" t="n">
        <v>977519000000</v>
      </c>
      <c r="AE13" s="0" t="n">
        <v>0.475639744198858</v>
      </c>
      <c r="AF13" s="0" t="n">
        <v>0.49795556910366</v>
      </c>
      <c r="AG13" s="0" t="n">
        <v>2.71064480859855</v>
      </c>
      <c r="AH13" s="0" t="n">
        <v>0.922436571394616</v>
      </c>
      <c r="AI13" s="0" t="n">
        <v>1.07700688169438</v>
      </c>
      <c r="AJ13" s="0" t="n">
        <v>26.0671980657549</v>
      </c>
      <c r="AK13" s="0" t="n">
        <v>51.6439428574411</v>
      </c>
      <c r="AL13" s="0" t="n">
        <v>125.425044989003</v>
      </c>
      <c r="AM13" s="0" t="n">
        <v>-47.7139040658073</v>
      </c>
      <c r="AN13" s="0" t="n">
        <v>14.0022720922779</v>
      </c>
      <c r="AO13" s="0" t="n">
        <v>1.82129525068025</v>
      </c>
      <c r="AP13" s="0" t="n">
        <v>7.06762458101917</v>
      </c>
      <c r="AQ13" s="0" t="n">
        <v>0.449912409164786</v>
      </c>
      <c r="AR13" s="0" t="n">
        <v>0.120688878417535</v>
      </c>
      <c r="AS13" s="0" t="n">
        <v>0.0980374095343052</v>
      </c>
      <c r="AT13" s="0" t="n">
        <v>0.0300351897900402</v>
      </c>
      <c r="AU13" s="0" t="n">
        <v>-0.0422647666412688</v>
      </c>
      <c r="AV13" s="0" t="n">
        <v>-0.329957919117748</v>
      </c>
      <c r="AW13" s="0" t="n">
        <v>228</v>
      </c>
      <c r="AX13" s="0" t="n">
        <v>228</v>
      </c>
      <c r="AY13" s="0" t="n">
        <v>2.051</v>
      </c>
      <c r="AZ13" s="0" t="n">
        <v>0.12529999</v>
      </c>
      <c r="BA13" s="0" t="s">
        <v>460</v>
      </c>
      <c r="BB13" s="0" t="n">
        <v>5</v>
      </c>
      <c r="BE13" s="0" t="n">
        <v>0.5</v>
      </c>
      <c r="BF13" s="0" t="n">
        <v>0.5833</v>
      </c>
      <c r="BG13" s="0" t="n">
        <v>0.2222</v>
      </c>
      <c r="BH13" s="0" t="n">
        <v>0.3333</v>
      </c>
      <c r="BI13" s="0" t="n">
        <v>0.0833</v>
      </c>
      <c r="BJ13" s="0" t="n">
        <v>0.1667</v>
      </c>
      <c r="BK13" s="0" t="n">
        <v>29969315000000</v>
      </c>
      <c r="BL13" s="0" t="n">
        <v>13684780000000</v>
      </c>
      <c r="BM13" s="0" t="n">
        <v>4288290000000</v>
      </c>
      <c r="BN13" s="0" t="n">
        <v>8193832000000</v>
      </c>
      <c r="BO13" s="0" t="n">
        <v>1736727000000</v>
      </c>
      <c r="BP13" s="0" t="n">
        <v>16454946000000</v>
      </c>
      <c r="BQ13" s="0" t="n">
        <v>13432111000000</v>
      </c>
      <c r="BR13" s="0" t="n">
        <v>-5148398000000</v>
      </c>
      <c r="BS13" s="0" t="n">
        <v>69125846073344</v>
      </c>
      <c r="BT13" s="0" t="n">
        <v>67936320487424</v>
      </c>
      <c r="BU13" s="0" t="n">
        <v>37981233300</v>
      </c>
      <c r="BV13" s="0" t="n">
        <v>3022835000000</v>
      </c>
      <c r="BW13" s="0" t="n">
        <v>547203000000</v>
      </c>
      <c r="BX13" s="0" t="n">
        <v>-1189524000000</v>
      </c>
      <c r="BY13" s="0" t="n">
        <v>6863797000000</v>
      </c>
      <c r="BZ13" s="0" t="n">
        <v>12012195000000</v>
      </c>
      <c r="CA13" s="0" t="n">
        <v>4098156000000</v>
      </c>
      <c r="CC13" s="0" t="n">
        <v>-1196364000000</v>
      </c>
      <c r="CD13" s="0" t="n">
        <v>2598183000000</v>
      </c>
      <c r="CE13" s="0" t="n">
        <v>2304103000000</v>
      </c>
      <c r="CF13" s="0" t="n">
        <v>3120320000000</v>
      </c>
      <c r="CG13" s="0" t="n">
        <v>0.201</v>
      </c>
      <c r="CH13" s="0" t="n">
        <v>0.0603234907424612</v>
      </c>
      <c r="CI13" s="0" t="n">
        <v>0.427285198050828</v>
      </c>
      <c r="CJ13" s="0" t="n">
        <v>16.577290002485</v>
      </c>
      <c r="CK13" s="0" t="n">
        <v>0.0375862741302764</v>
      </c>
      <c r="CL13" s="0" t="n">
        <v>-6568314000000</v>
      </c>
      <c r="CM13" s="0" t="n">
        <v>-172.935774573702</v>
      </c>
      <c r="CN13" s="0" t="s">
        <v>446</v>
      </c>
      <c r="CO13" s="0" t="n">
        <v>5462157000000</v>
      </c>
      <c r="CP13" s="0" t="n">
        <v>0.154834318859556</v>
      </c>
      <c r="CQ13" s="0" t="n">
        <v>1.33283286434191</v>
      </c>
      <c r="CR13" s="0" t="n">
        <v>966.096709134508</v>
      </c>
      <c r="CS13" s="0" t="n">
        <v>-0.0814659563167613</v>
      </c>
      <c r="CT13" s="0" t="n">
        <v>-0.0814659563167613</v>
      </c>
      <c r="CU13" s="0" t="n">
        <v>0.125130740441593</v>
      </c>
      <c r="CV13" s="0" t="n">
        <v>0.125130740441593</v>
      </c>
      <c r="CW13" s="0" t="n">
        <v>0.472471802344789</v>
      </c>
      <c r="CX13" s="0" t="n">
        <v>0.153943708018473</v>
      </c>
      <c r="CY13" s="0" t="n">
        <v>1.49362235260192</v>
      </c>
      <c r="CZ13" s="0" t="n">
        <v>0.124667399680534</v>
      </c>
      <c r="DA13" s="0" t="n">
        <v>5</v>
      </c>
      <c r="DB13" s="0" t="n">
        <v>4</v>
      </c>
      <c r="DC13" s="0" t="n">
        <v>1</v>
      </c>
      <c r="DE13" s="0" t="n">
        <v>1</v>
      </c>
      <c r="DG13" s="0" t="n">
        <v>1</v>
      </c>
      <c r="DH13" s="0" t="n">
        <v>1</v>
      </c>
      <c r="DI13" s="0" t="n">
        <v>1</v>
      </c>
      <c r="DJ13" s="0" t="n">
        <v>0</v>
      </c>
      <c r="DK13" s="0" t="n">
        <v>0</v>
      </c>
      <c r="DL13" s="0" t="s">
        <v>447</v>
      </c>
      <c r="DM13" s="0" t="n">
        <v>2840</v>
      </c>
      <c r="DN13" s="0" t="n">
        <v>1485</v>
      </c>
      <c r="DO13" s="0" t="n">
        <v>-0.359154929577465</v>
      </c>
      <c r="DP13" s="0" t="n">
        <v>0.0311614730878186</v>
      </c>
      <c r="DQ13" s="0" t="n">
        <v>-0.204840462412315</v>
      </c>
      <c r="DR13" s="0" t="n">
        <v>-0.162606040649437</v>
      </c>
      <c r="DS13" s="0" t="n">
        <v>0.0792</v>
      </c>
      <c r="DT13" s="0" t="n">
        <v>-0.9092</v>
      </c>
      <c r="DU13" s="0" t="n">
        <v>121</v>
      </c>
      <c r="DV13" s="0" t="s">
        <v>448</v>
      </c>
      <c r="DW13" s="0" t="n">
        <v>0.45</v>
      </c>
      <c r="DX13" s="0" t="s">
        <v>300</v>
      </c>
      <c r="DY13" s="0" t="n">
        <v>1</v>
      </c>
      <c r="DZ13" s="0" t="s">
        <v>449</v>
      </c>
      <c r="EA13" s="0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25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24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28"/>
    <col collapsed="false" customWidth="true" hidden="false" outlineLevel="0" max="12" min="12" style="0" width="21"/>
    <col collapsed="false" customWidth="true" hidden="false" outlineLevel="0" max="13" min="13" style="0" width="16"/>
    <col collapsed="false" customWidth="true" hidden="false" outlineLevel="0" max="14" min="14" style="0" width="20"/>
  </cols>
  <sheetData>
    <row r="1" customFormat="false" ht="15" hidden="false" customHeight="false" outlineLevel="0" collapsed="false">
      <c r="A1" s="52" t="s">
        <v>27</v>
      </c>
      <c r="B1" s="52" t="s">
        <v>461</v>
      </c>
      <c r="C1" s="52" t="s">
        <v>283</v>
      </c>
      <c r="D1" s="52" t="s">
        <v>462</v>
      </c>
      <c r="E1" s="52" t="s">
        <v>463</v>
      </c>
      <c r="F1" s="52" t="s">
        <v>464</v>
      </c>
      <c r="G1" s="52" t="s">
        <v>465</v>
      </c>
      <c r="H1" s="52" t="s">
        <v>466</v>
      </c>
      <c r="I1" s="52" t="s">
        <v>467</v>
      </c>
      <c r="J1" s="52" t="s">
        <v>468</v>
      </c>
      <c r="K1" s="52" t="s">
        <v>469</v>
      </c>
      <c r="L1" s="52" t="s">
        <v>470</v>
      </c>
      <c r="M1" s="52" t="s">
        <v>471</v>
      </c>
      <c r="N1" s="52" t="s">
        <v>472</v>
      </c>
    </row>
    <row r="2" customFormat="false" ht="15" hidden="false" customHeight="false" outlineLevel="0" collapsed="false">
      <c r="A2" s="0" t="s">
        <v>44</v>
      </c>
      <c r="B2" s="0" t="n">
        <v>0.0471384802999527</v>
      </c>
      <c r="C2" s="0" t="n">
        <v>7325</v>
      </c>
      <c r="D2" s="0" t="n">
        <v>70.2192352351185</v>
      </c>
      <c r="E2" s="0" t="n">
        <v>0.850714255983641</v>
      </c>
      <c r="F2" s="0" t="n">
        <v>1.61876606312628</v>
      </c>
      <c r="G2" s="0" t="n">
        <v>0</v>
      </c>
      <c r="H2" s="0" t="n">
        <v>3.33230302980731</v>
      </c>
      <c r="I2" s="0" t="n">
        <v>0.178455691177744</v>
      </c>
      <c r="J2" s="0" t="n">
        <v>0.114826079804714</v>
      </c>
      <c r="K2" s="0" t="n">
        <v>0.4718</v>
      </c>
      <c r="L2" s="0" t="n">
        <v>0.0732600732600732</v>
      </c>
      <c r="M2" s="0" t="n">
        <v>0.8222</v>
      </c>
      <c r="N2" s="0" t="n">
        <v>-0.214568576082513</v>
      </c>
    </row>
    <row r="3" customFormat="false" ht="15" hidden="false" customHeight="false" outlineLevel="0" collapsed="false">
      <c r="A3" s="0" t="s">
        <v>79</v>
      </c>
      <c r="B3" s="0" t="n">
        <v>-4.96136034823973</v>
      </c>
      <c r="C3" s="0" t="n">
        <v>30</v>
      </c>
      <c r="D3" s="0" t="n">
        <v>-79.0662554604867</v>
      </c>
      <c r="E3" s="0" t="n">
        <v>-0.53441906917202</v>
      </c>
      <c r="F3" s="0" t="n">
        <v>-0.443236959430638</v>
      </c>
      <c r="G3" s="0" t="n">
        <v>0.436842743086351</v>
      </c>
      <c r="H3" s="0" t="n">
        <v>0.453865552331569</v>
      </c>
      <c r="I3" s="0" t="n">
        <v>0.0790269155622082</v>
      </c>
      <c r="J3" s="0" t="n">
        <v>-0.234652815702998</v>
      </c>
      <c r="K3" s="0" t="n">
        <v>0</v>
      </c>
      <c r="L3" s="0" t="n">
        <v>-0.189189189189189</v>
      </c>
      <c r="M3" s="0" t="n">
        <v>0.2972</v>
      </c>
      <c r="N3" s="0" t="n">
        <v>3.34764979474182</v>
      </c>
    </row>
    <row r="4" customFormat="false" ht="15" hidden="false" customHeight="false" outlineLevel="0" collapsed="false">
      <c r="A4" s="0" t="s">
        <v>47</v>
      </c>
      <c r="B4" s="0" t="n">
        <v>0.0765494449914693</v>
      </c>
      <c r="C4" s="0" t="n">
        <v>2540</v>
      </c>
      <c r="D4" s="0" t="n">
        <v>19.8527023121456</v>
      </c>
      <c r="E4" s="0" t="n">
        <v>1.05666871773094</v>
      </c>
      <c r="F4" s="0" t="n">
        <v>-0.3498389019966</v>
      </c>
      <c r="G4" s="0" t="n">
        <v>0.147461192738257</v>
      </c>
      <c r="H4" s="0" t="n">
        <v>4.32073122110532</v>
      </c>
      <c r="I4" s="0" t="n">
        <v>0.161236939107761</v>
      </c>
      <c r="J4" s="0" t="n">
        <v>0.310720846030516</v>
      </c>
      <c r="K4" s="0" t="n">
        <v>1.1035</v>
      </c>
      <c r="L4" s="0" t="n">
        <v>0.358288770053476</v>
      </c>
      <c r="M4" s="0" t="n">
        <v>0.5194</v>
      </c>
      <c r="N4" s="0" t="n">
        <v>-0.0202176464857173</v>
      </c>
    </row>
    <row r="5" customFormat="false" ht="15" hidden="false" customHeight="false" outlineLevel="0" collapsed="false">
      <c r="A5" s="0" t="s">
        <v>49</v>
      </c>
      <c r="B5" s="0" t="n">
        <v>0.113128882146158</v>
      </c>
      <c r="C5" s="0" t="n">
        <v>5100</v>
      </c>
      <c r="D5" s="0" t="n">
        <v>13.0042674629628</v>
      </c>
      <c r="E5" s="0" t="n">
        <v>0.804291304163942</v>
      </c>
      <c r="F5" s="0" t="n">
        <v>-0.0359203693017888</v>
      </c>
      <c r="G5" s="0" t="n">
        <v>0.23166970187574</v>
      </c>
      <c r="H5" s="0" t="n">
        <v>1.18667187530019</v>
      </c>
      <c r="I5" s="0" t="n">
        <v>0.0896957729287856</v>
      </c>
      <c r="J5" s="0" t="n">
        <v>0.102302984415421</v>
      </c>
      <c r="K5" s="0" t="n">
        <v>0.527</v>
      </c>
      <c r="L5" s="0" t="n">
        <v>0.0282258064516129</v>
      </c>
      <c r="M5" s="0" t="n">
        <v>0.5667</v>
      </c>
      <c r="N5" s="0" t="n">
        <v>0.317506128622842</v>
      </c>
    </row>
    <row r="6" customFormat="false" ht="15" hidden="false" customHeight="false" outlineLevel="0" collapsed="false">
      <c r="A6" s="0" t="s">
        <v>80</v>
      </c>
      <c r="B6" s="0" t="n">
        <v>0.626872294144988</v>
      </c>
      <c r="C6" s="0" t="n">
        <v>6375</v>
      </c>
      <c r="D6" s="0" t="n">
        <v>-65.4664843804217</v>
      </c>
      <c r="E6" s="0" t="n">
        <v>1.55423217656689</v>
      </c>
      <c r="F6" s="0" t="n">
        <v>0.0497798302588884</v>
      </c>
      <c r="G6" s="0" t="n">
        <v>0.001317449249531</v>
      </c>
      <c r="I6" s="0" t="n">
        <v>0.0576384228835182</v>
      </c>
      <c r="K6" s="0" t="n">
        <v>0.7542</v>
      </c>
      <c r="L6" s="0" t="n">
        <v>-0.231927710843374</v>
      </c>
      <c r="M6" s="0" t="n">
        <v>0.4206</v>
      </c>
      <c r="N6" s="0" t="n">
        <v>-0.345830109098425</v>
      </c>
    </row>
    <row r="7" customFormat="false" ht="15" hidden="false" customHeight="false" outlineLevel="0" collapsed="false">
      <c r="A7" s="0" t="s">
        <v>81</v>
      </c>
      <c r="B7" s="0" t="n">
        <v>0.237299887589653</v>
      </c>
      <c r="C7" s="0" t="n">
        <v>3130</v>
      </c>
      <c r="D7" s="0" t="n">
        <v>-28.2402143466151</v>
      </c>
      <c r="E7" s="0" t="n">
        <v>0.95086039721233</v>
      </c>
      <c r="F7" s="0" t="n">
        <v>0.0266780931169994</v>
      </c>
      <c r="G7" s="0" t="n">
        <v>0.0919488579322651</v>
      </c>
      <c r="I7" s="0" t="n">
        <v>0.0804880002789468</v>
      </c>
      <c r="K7" s="0" t="n">
        <v>0.8879</v>
      </c>
      <c r="L7" s="0" t="n">
        <v>-0.15633423180593</v>
      </c>
      <c r="M7" s="0" t="n">
        <v>0.5992</v>
      </c>
      <c r="N7" s="0" t="n">
        <v>0.0762411413993292</v>
      </c>
    </row>
    <row r="8" customFormat="false" ht="15" hidden="false" customHeight="false" outlineLevel="0" collapsed="false">
      <c r="A8" s="0" t="s">
        <v>38</v>
      </c>
      <c r="B8" s="0" t="n">
        <v>0.291637211811071</v>
      </c>
      <c r="C8" s="0" t="n">
        <v>4240</v>
      </c>
      <c r="D8" s="0" t="n">
        <v>-27.4272498678367</v>
      </c>
      <c r="E8" s="0" t="n">
        <v>0.756460853506628</v>
      </c>
      <c r="F8" s="0" t="n">
        <v>0.138735551071628</v>
      </c>
      <c r="G8" s="0" t="n">
        <v>0.0893615561493181</v>
      </c>
      <c r="I8" s="0" t="n">
        <v>0.106885922503773</v>
      </c>
      <c r="K8" s="0" t="n">
        <v>0.7147</v>
      </c>
      <c r="L8" s="0" t="n">
        <v>-0.094017094017094</v>
      </c>
      <c r="M8" s="0" t="n">
        <v>0.6825</v>
      </c>
      <c r="N8" s="0" t="n">
        <v>-0.155639698054699</v>
      </c>
    </row>
    <row r="9" customFormat="false" ht="15" hidden="false" customHeight="false" outlineLevel="0" collapsed="false">
      <c r="A9" s="0" t="s">
        <v>48</v>
      </c>
      <c r="B9" s="0" t="n">
        <v>0.0350874933605307</v>
      </c>
      <c r="C9" s="0" t="n">
        <v>21725</v>
      </c>
      <c r="D9" s="0" t="n">
        <v>53.1181219786741</v>
      </c>
      <c r="E9" s="0" t="n">
        <v>1.41244331263777</v>
      </c>
      <c r="G9" s="0" t="n">
        <v>0</v>
      </c>
      <c r="H9" s="0" t="n">
        <v>3.64411962019332</v>
      </c>
      <c r="I9" s="0" t="n">
        <v>0.11210037344401</v>
      </c>
      <c r="J9" s="0" t="n">
        <v>0.0898301390471487</v>
      </c>
      <c r="K9" s="0" t="n">
        <v>0.3486</v>
      </c>
      <c r="L9" s="0" t="n">
        <v>1.47578347578348</v>
      </c>
      <c r="M9" s="0" t="n">
        <v>0.5972</v>
      </c>
      <c r="N9" s="0" t="n">
        <v>-0.136239466346006</v>
      </c>
    </row>
    <row r="10" customFormat="false" ht="15" hidden="false" customHeight="false" outlineLevel="0" collapsed="false">
      <c r="A10" s="0" t="s">
        <v>45</v>
      </c>
      <c r="B10" s="0" t="n">
        <v>0.0768700099864406</v>
      </c>
      <c r="C10" s="0" t="n">
        <v>25125</v>
      </c>
      <c r="D10" s="0" t="n">
        <v>22.5715373566784</v>
      </c>
      <c r="E10" s="0" t="n">
        <v>1.00609815757451</v>
      </c>
      <c r="F10" s="0" t="n">
        <v>-0.158434282020103</v>
      </c>
      <c r="G10" s="0" t="n">
        <v>0.0339115545276806</v>
      </c>
      <c r="H10" s="0" t="n">
        <v>3.61289036073749</v>
      </c>
      <c r="I10" s="0" t="n">
        <v>0.310678089716178</v>
      </c>
      <c r="J10" s="0" t="n">
        <v>0.153318983795473</v>
      </c>
      <c r="K10" s="0" t="n">
        <v>1.1162</v>
      </c>
      <c r="L10" s="0" t="n">
        <v>0.0864864864864864</v>
      </c>
      <c r="M10" s="0" t="n">
        <v>0.6167</v>
      </c>
      <c r="N10" s="0" t="n">
        <v>-0.347166341378436</v>
      </c>
    </row>
    <row r="11" customFormat="false" ht="15" hidden="false" customHeight="false" outlineLevel="0" collapsed="false">
      <c r="A11" s="0" t="s">
        <v>46</v>
      </c>
      <c r="B11" s="0" t="n">
        <v>0.156239853127667</v>
      </c>
      <c r="C11" s="0" t="n">
        <v>2370</v>
      </c>
      <c r="D11" s="0" t="n">
        <v>-13.7632525922572</v>
      </c>
      <c r="E11" s="0" t="n">
        <v>1</v>
      </c>
      <c r="F11" s="0" t="n">
        <v>-0.572006747162882</v>
      </c>
      <c r="G11" s="0" t="n">
        <v>0.0629131977443543</v>
      </c>
      <c r="H11" s="0" t="n">
        <v>1.26789167911944</v>
      </c>
      <c r="I11" s="0" t="n">
        <v>0.0969793058672312</v>
      </c>
      <c r="J11" s="0" t="n">
        <v>0.0803970141359445</v>
      </c>
      <c r="K11" s="0" t="n">
        <v>1.1463</v>
      </c>
      <c r="L11" s="0" t="n">
        <v>-0.0125</v>
      </c>
      <c r="M11" s="0" t="n">
        <v>0.5194</v>
      </c>
      <c r="N11" s="0" t="n">
        <v>-0.0625762726643402</v>
      </c>
    </row>
    <row r="12" customFormat="false" ht="15" hidden="false" customHeight="false" outlineLevel="0" collapsed="false">
      <c r="A12" s="0" t="s">
        <v>50</v>
      </c>
      <c r="B12" s="0" t="n">
        <v>0.326895740723778</v>
      </c>
      <c r="C12" s="0" t="n">
        <v>2710</v>
      </c>
      <c r="D12" s="0" t="n">
        <v>-55.7061301107207</v>
      </c>
      <c r="E12" s="0" t="n">
        <v>1.81167397036998</v>
      </c>
      <c r="F12" s="0" t="n">
        <v>0.21568247821878</v>
      </c>
      <c r="G12" s="0" t="n">
        <v>0.266870568516631</v>
      </c>
      <c r="H12" s="0" t="n">
        <v>0.790675863146994</v>
      </c>
      <c r="I12" s="0" t="n">
        <v>0.18007700759188</v>
      </c>
      <c r="J12" s="0" t="n">
        <v>0.287316808395151</v>
      </c>
      <c r="K12" s="0" t="n">
        <v>1.2516</v>
      </c>
      <c r="L12" s="0" t="n">
        <v>-0.0813559322033898</v>
      </c>
      <c r="M12" s="0" t="n">
        <v>0.325</v>
      </c>
      <c r="N12" s="0" t="n">
        <v>0.222304851562962</v>
      </c>
    </row>
    <row r="13" customFormat="false" ht="15" hidden="false" customHeight="false" outlineLevel="0" collapsed="false">
      <c r="A13" s="0" t="s">
        <v>51</v>
      </c>
      <c r="B13" s="0" t="n">
        <v>61.9867150609425</v>
      </c>
      <c r="C13" s="0" t="n">
        <v>1820</v>
      </c>
      <c r="D13" s="0" t="n">
        <v>-95.6270552392822</v>
      </c>
      <c r="E13" s="0" t="n">
        <v>0.980234431099393</v>
      </c>
      <c r="F13" s="0" t="n">
        <v>-0.329957919117748</v>
      </c>
      <c r="G13" s="0" t="n">
        <v>0.0332546214372262</v>
      </c>
      <c r="H13" s="0" t="n">
        <v>0.571402395648755</v>
      </c>
      <c r="I13" s="0" t="n">
        <v>0.105544375533046</v>
      </c>
      <c r="J13" s="0" t="n">
        <v>0.120688878417535</v>
      </c>
      <c r="K13" s="0" t="n">
        <v>2.051</v>
      </c>
      <c r="L13" s="0" t="n">
        <v>0.0311614730878186</v>
      </c>
      <c r="M13" s="0" t="n">
        <v>0.3611</v>
      </c>
      <c r="N13" s="0" t="n">
        <v>-0.393512712404084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7"/>
    <col collapsed="false" customWidth="true" hidden="false" outlineLevel="0" max="11" min="10" style="0" width="11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4" min="14" style="0" width="20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15"/>
    <col collapsed="false" customWidth="true" hidden="false" outlineLevel="0" max="23" min="18" style="0" width="11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6" min="26" style="0" width="16"/>
    <col collapsed="false" customWidth="true" hidden="false" outlineLevel="0" max="29" min="27" style="0" width="11"/>
    <col collapsed="false" customWidth="true" hidden="false" outlineLevel="0" max="30" min="30" style="0" width="16"/>
    <col collapsed="false" customWidth="true" hidden="false" outlineLevel="0" max="31" min="31" style="0" width="17"/>
    <col collapsed="false" customWidth="true" hidden="false" outlineLevel="0" max="32" min="32" style="0" width="16"/>
    <col collapsed="false" customWidth="true" hidden="false" outlineLevel="0" max="33" min="33" style="0" width="15"/>
    <col collapsed="false" customWidth="true" hidden="false" outlineLevel="0" max="35" min="34" style="0" width="12"/>
    <col collapsed="false" customWidth="true" hidden="false" outlineLevel="0" max="36" min="36" style="0" width="16"/>
    <col collapsed="false" customWidth="true" hidden="false" outlineLevel="0" max="37" min="37" style="0" width="21"/>
    <col collapsed="false" customWidth="true" hidden="false" outlineLevel="0" max="38" min="38" style="0" width="16"/>
  </cols>
  <sheetData>
    <row r="1" customFormat="false" ht="15" hidden="false" customHeight="false" outlineLevel="0" collapsed="false">
      <c r="A1" s="52" t="s">
        <v>27</v>
      </c>
      <c r="B1" s="52" t="s">
        <v>28</v>
      </c>
      <c r="C1" s="52" t="s">
        <v>29</v>
      </c>
      <c r="D1" s="52" t="s">
        <v>30</v>
      </c>
      <c r="E1" s="52" t="s">
        <v>31</v>
      </c>
      <c r="F1" s="52" t="s">
        <v>473</v>
      </c>
      <c r="G1" s="52" t="s">
        <v>474</v>
      </c>
      <c r="H1" s="52" t="s">
        <v>475</v>
      </c>
      <c r="I1" s="52" t="s">
        <v>476</v>
      </c>
      <c r="J1" s="52" t="s">
        <v>37</v>
      </c>
      <c r="K1" s="52" t="s">
        <v>43</v>
      </c>
      <c r="L1" s="52" t="s">
        <v>41</v>
      </c>
      <c r="M1" s="52" t="s">
        <v>42</v>
      </c>
      <c r="N1" s="52" t="s">
        <v>477</v>
      </c>
      <c r="O1" s="52" t="s">
        <v>67</v>
      </c>
      <c r="P1" s="52" t="s">
        <v>413</v>
      </c>
      <c r="Q1" s="52" t="s">
        <v>417</v>
      </c>
      <c r="R1" s="52" t="s">
        <v>69</v>
      </c>
      <c r="S1" s="52" t="s">
        <v>70</v>
      </c>
      <c r="T1" s="52" t="s">
        <v>71</v>
      </c>
      <c r="U1" s="52" t="s">
        <v>478</v>
      </c>
      <c r="V1" s="52" t="s">
        <v>479</v>
      </c>
      <c r="W1" s="52" t="s">
        <v>480</v>
      </c>
      <c r="X1" s="52" t="s">
        <v>32</v>
      </c>
      <c r="Y1" s="52" t="s">
        <v>481</v>
      </c>
      <c r="Z1" s="52" t="s">
        <v>482</v>
      </c>
      <c r="AA1" s="52" t="s">
        <v>9</v>
      </c>
      <c r="AB1" s="52" t="s">
        <v>165</v>
      </c>
      <c r="AC1" s="52" t="s">
        <v>74</v>
      </c>
      <c r="AD1" s="52" t="s">
        <v>483</v>
      </c>
      <c r="AE1" s="52" t="s">
        <v>484</v>
      </c>
      <c r="AF1" s="52" t="s">
        <v>73</v>
      </c>
      <c r="AG1" s="52" t="s">
        <v>485</v>
      </c>
      <c r="AH1" s="52" t="s">
        <v>486</v>
      </c>
      <c r="AI1" s="52" t="s">
        <v>487</v>
      </c>
      <c r="AJ1" s="52" t="s">
        <v>488</v>
      </c>
      <c r="AK1" s="52" t="s">
        <v>489</v>
      </c>
      <c r="AL1" s="52" t="s">
        <v>490</v>
      </c>
    </row>
    <row r="2" customFormat="false" ht="15" hidden="false" customHeight="false" outlineLevel="0" collapsed="false">
      <c r="A2" s="0" t="s">
        <v>44</v>
      </c>
      <c r="B2" s="0" t="s">
        <v>246</v>
      </c>
      <c r="C2" s="0" t="s">
        <v>491</v>
      </c>
      <c r="D2" s="0" t="s">
        <v>492</v>
      </c>
      <c r="E2" s="0" t="n">
        <v>7325</v>
      </c>
      <c r="F2" s="0" t="n">
        <v>53.3</v>
      </c>
      <c r="G2" s="0" t="n">
        <v>95.6</v>
      </c>
      <c r="H2" s="0" t="n">
        <v>100</v>
      </c>
      <c r="I2" s="0" t="n">
        <v>83</v>
      </c>
      <c r="J2" s="0" t="n">
        <v>7</v>
      </c>
      <c r="K2" s="0" t="n">
        <v>10.4940987900542</v>
      </c>
      <c r="L2" s="0" t="n">
        <v>0.29908250053561</v>
      </c>
      <c r="M2" s="0" t="n">
        <v>0.140091279165906</v>
      </c>
      <c r="N2" s="0" t="n">
        <v>3.34355904544451</v>
      </c>
      <c r="O2" s="0" t="s">
        <v>446</v>
      </c>
      <c r="P2" s="0" t="n">
        <v>3507.99445512096</v>
      </c>
      <c r="Q2" s="0" t="n">
        <v>9980.47381004206</v>
      </c>
      <c r="R2" s="0" t="n">
        <v>7686.149289814</v>
      </c>
      <c r="S2" s="0" t="n">
        <v>10632.1442667336</v>
      </c>
      <c r="T2" s="0" t="n">
        <v>13770.4029516587</v>
      </c>
      <c r="U2" s="0" t="n">
        <v>0.0469870251274729</v>
      </c>
      <c r="V2" s="0" t="n">
        <v>0.311051485360405</v>
      </c>
      <c r="W2" s="0" t="n">
        <v>0.46806204395655</v>
      </c>
      <c r="X2" s="0" t="n">
        <v>10328.0313869442</v>
      </c>
      <c r="Y2" s="0" t="n">
        <v>0.290765129813643</v>
      </c>
      <c r="Z2" s="0" t="n">
        <v>0.409970155214227</v>
      </c>
      <c r="AA2" s="0" t="s">
        <v>18</v>
      </c>
      <c r="AB2" s="0" t="s">
        <v>493</v>
      </c>
      <c r="AF2" s="0" t="n">
        <v>0.45</v>
      </c>
      <c r="AG2" s="0" t="s">
        <v>448</v>
      </c>
      <c r="AI2" s="0" t="n">
        <v>0</v>
      </c>
    </row>
    <row r="3" customFormat="false" ht="15" hidden="false" customHeight="false" outlineLevel="0" collapsed="false">
      <c r="A3" s="0" t="s">
        <v>79</v>
      </c>
      <c r="B3" s="0" t="s">
        <v>302</v>
      </c>
      <c r="C3" s="0" t="s">
        <v>494</v>
      </c>
      <c r="D3" s="0" t="s">
        <v>492</v>
      </c>
      <c r="E3" s="0" t="n">
        <v>30</v>
      </c>
      <c r="F3" s="0" t="n">
        <v>45</v>
      </c>
      <c r="G3" s="0" t="n">
        <v>17.8</v>
      </c>
      <c r="H3" s="0" t="n">
        <v>20</v>
      </c>
      <c r="I3" s="0" t="n">
        <v>27.6</v>
      </c>
      <c r="J3" s="0" t="n">
        <v>1</v>
      </c>
      <c r="K3" s="0" t="n">
        <v>-8.97025456540913</v>
      </c>
      <c r="L3" s="0" t="n">
        <v>-0.126102921168732</v>
      </c>
      <c r="M3" s="0" t="n">
        <v>-0.157139139922957</v>
      </c>
      <c r="N3" s="0" t="n">
        <v>-7.93003041271303</v>
      </c>
      <c r="O3" s="0" t="s">
        <v>446</v>
      </c>
      <c r="P3" s="0" t="n">
        <v>-63.4719432922815</v>
      </c>
      <c r="AA3" s="0" t="s">
        <v>20</v>
      </c>
      <c r="AB3" s="0" t="s">
        <v>495</v>
      </c>
      <c r="AC3" s="0" t="s">
        <v>496</v>
      </c>
      <c r="AF3" s="0" t="n">
        <v>1.45</v>
      </c>
      <c r="AG3" s="0" t="s">
        <v>450</v>
      </c>
      <c r="AI3" s="0" t="n">
        <v>0</v>
      </c>
    </row>
    <row r="4" customFormat="false" ht="15" hidden="false" customHeight="false" outlineLevel="0" collapsed="false">
      <c r="A4" s="0" t="s">
        <v>47</v>
      </c>
      <c r="B4" s="0" t="s">
        <v>305</v>
      </c>
      <c r="C4" s="0" t="s">
        <v>497</v>
      </c>
      <c r="D4" s="0" t="s">
        <v>498</v>
      </c>
      <c r="E4" s="0" t="n">
        <v>2540</v>
      </c>
      <c r="F4" s="0" t="n">
        <v>56.7</v>
      </c>
      <c r="G4" s="0" t="n">
        <v>84.4</v>
      </c>
      <c r="H4" s="0" t="n">
        <v>63.8</v>
      </c>
      <c r="I4" s="0" t="n">
        <v>68.3</v>
      </c>
      <c r="J4" s="0" t="n">
        <v>2</v>
      </c>
      <c r="K4" s="0" t="n">
        <v>6.81474473603233</v>
      </c>
      <c r="L4" s="0" t="n">
        <v>0.154400101536957</v>
      </c>
      <c r="M4" s="0" t="n">
        <v>0.115995157987041</v>
      </c>
      <c r="N4" s="0" t="n">
        <v>6.47667967861175</v>
      </c>
      <c r="O4" s="0" t="s">
        <v>446</v>
      </c>
      <c r="P4" s="0" t="n">
        <v>488.062972474965</v>
      </c>
      <c r="Q4" s="0" t="n">
        <v>3562.11615674289</v>
      </c>
      <c r="X4" s="0" t="n">
        <v>3562.11615674289</v>
      </c>
      <c r="Y4" s="0" t="n">
        <v>0.286940714947794</v>
      </c>
      <c r="Z4" s="0" t="n">
        <v>0.402407935725549</v>
      </c>
      <c r="AA4" s="0" t="s">
        <v>18</v>
      </c>
      <c r="AB4" s="0" t="s">
        <v>493</v>
      </c>
      <c r="AF4" s="0" t="n">
        <v>1.45</v>
      </c>
      <c r="AG4" s="0" t="s">
        <v>450</v>
      </c>
      <c r="AI4" s="0" t="n">
        <v>0</v>
      </c>
    </row>
    <row r="5" customFormat="false" ht="15" hidden="false" customHeight="false" outlineLevel="0" collapsed="false">
      <c r="A5" s="0" t="s">
        <v>49</v>
      </c>
      <c r="B5" s="0" t="s">
        <v>307</v>
      </c>
      <c r="C5" s="0" t="s">
        <v>499</v>
      </c>
      <c r="D5" s="0" t="s">
        <v>498</v>
      </c>
      <c r="E5" s="0" t="n">
        <v>5100</v>
      </c>
      <c r="F5" s="0" t="n">
        <v>51.7</v>
      </c>
      <c r="G5" s="0" t="n">
        <v>70.7</v>
      </c>
      <c r="H5" s="0" t="n">
        <v>80.5</v>
      </c>
      <c r="I5" s="0" t="n">
        <v>67.6</v>
      </c>
      <c r="J5" s="0" t="n">
        <v>3</v>
      </c>
      <c r="K5" s="0" t="n">
        <v>3.44111877086024</v>
      </c>
      <c r="L5" s="0" t="n">
        <v>0.138209828176832</v>
      </c>
      <c r="M5" s="0" t="n">
        <v>0.140603310278631</v>
      </c>
      <c r="N5" s="0" t="n">
        <v>7.2353754663565</v>
      </c>
      <c r="O5" s="0" t="s">
        <v>446</v>
      </c>
      <c r="P5" s="0" t="n">
        <v>-986.296087086344</v>
      </c>
      <c r="Q5" s="0" t="n">
        <v>6454.22015027549</v>
      </c>
      <c r="R5" s="0" t="n">
        <v>3227.16986729277</v>
      </c>
      <c r="S5" s="0" t="n">
        <v>6159.58966246342</v>
      </c>
      <c r="T5" s="0" t="n">
        <v>9320.03166534804</v>
      </c>
      <c r="U5" s="0" t="n">
        <v>-0.58033205865247</v>
      </c>
      <c r="V5" s="0" t="n">
        <v>0.172022767834774</v>
      </c>
      <c r="W5" s="0" t="n">
        <v>0.452791558749543</v>
      </c>
      <c r="X5" s="0" t="n">
        <v>6370.04001090061</v>
      </c>
      <c r="Y5" s="0" t="n">
        <v>0.199377085344406</v>
      </c>
      <c r="Z5" s="0" t="n">
        <v>0.249027453117767</v>
      </c>
      <c r="AA5" s="0" t="s">
        <v>18</v>
      </c>
      <c r="AB5" s="0" t="s">
        <v>500</v>
      </c>
      <c r="AF5" s="0" t="n">
        <v>0.45</v>
      </c>
      <c r="AG5" s="0" t="s">
        <v>448</v>
      </c>
      <c r="AI5" s="0" t="n">
        <v>0</v>
      </c>
    </row>
    <row r="6" customFormat="false" ht="15" hidden="false" customHeight="false" outlineLevel="0" collapsed="false">
      <c r="A6" s="0" t="s">
        <v>80</v>
      </c>
      <c r="B6" s="0" t="s">
        <v>309</v>
      </c>
      <c r="C6" s="0" t="s">
        <v>501</v>
      </c>
      <c r="D6" s="0" t="s">
        <v>502</v>
      </c>
      <c r="E6" s="0" t="n">
        <v>6375</v>
      </c>
      <c r="F6" s="0" t="n">
        <v>78.3</v>
      </c>
      <c r="G6" s="0" t="n">
        <v>77.8</v>
      </c>
      <c r="H6" s="0" t="n">
        <v>30</v>
      </c>
      <c r="I6" s="0" t="n">
        <v>62</v>
      </c>
      <c r="J6" s="0" t="n">
        <v>5</v>
      </c>
      <c r="O6" s="0" t="s">
        <v>446</v>
      </c>
      <c r="R6" s="0" t="n">
        <v>4198.49722427537</v>
      </c>
      <c r="S6" s="0" t="n">
        <v>6216.14074422079</v>
      </c>
      <c r="T6" s="0" t="n">
        <v>8368.91934494784</v>
      </c>
      <c r="U6" s="0" t="n">
        <v>-0.518400432216622</v>
      </c>
      <c r="V6" s="0" t="n">
        <v>-0.0255559296862612</v>
      </c>
      <c r="W6" s="0" t="n">
        <v>0.238252904916754</v>
      </c>
      <c r="X6" s="0" t="n">
        <v>5235.85639637258</v>
      </c>
      <c r="Y6" s="0" t="n">
        <v>-0.217565860747561</v>
      </c>
      <c r="Z6" s="0" t="n">
        <v>-0.17868919272587</v>
      </c>
      <c r="AA6" s="0" t="s">
        <v>20</v>
      </c>
      <c r="AB6" s="0" t="s">
        <v>503</v>
      </c>
      <c r="AE6" s="0" t="n">
        <v>5235.85639637258</v>
      </c>
      <c r="AF6" s="0" t="n">
        <v>0.45</v>
      </c>
      <c r="AG6" s="0" t="s">
        <v>448</v>
      </c>
      <c r="AI6" s="0" t="n">
        <v>0</v>
      </c>
    </row>
    <row r="7" customFormat="false" ht="15" hidden="false" customHeight="false" outlineLevel="0" collapsed="false">
      <c r="A7" s="0" t="s">
        <v>81</v>
      </c>
      <c r="B7" s="0" t="s">
        <v>311</v>
      </c>
      <c r="C7" s="0" t="s">
        <v>501</v>
      </c>
      <c r="D7" s="0" t="s">
        <v>502</v>
      </c>
      <c r="E7" s="0" t="n">
        <v>3130</v>
      </c>
      <c r="F7" s="0" t="n">
        <v>65</v>
      </c>
      <c r="G7" s="0" t="n">
        <v>77.8</v>
      </c>
      <c r="H7" s="0" t="n">
        <v>75</v>
      </c>
      <c r="I7" s="0" t="n">
        <v>72.6</v>
      </c>
      <c r="J7" s="0" t="n">
        <v>5</v>
      </c>
      <c r="O7" s="0" t="s">
        <v>446</v>
      </c>
      <c r="R7" s="0" t="n">
        <v>1723.13766993883</v>
      </c>
      <c r="S7" s="0" t="n">
        <v>2831.75686825836</v>
      </c>
      <c r="T7" s="0" t="n">
        <v>4018.0413158113</v>
      </c>
      <c r="U7" s="0" t="n">
        <v>-0.816453818290161</v>
      </c>
      <c r="V7" s="0" t="n">
        <v>-0.105320882270897</v>
      </c>
      <c r="W7" s="0" t="n">
        <v>0.221013485430522</v>
      </c>
      <c r="X7" s="0" t="n">
        <v>3737.47718359117</v>
      </c>
      <c r="Y7" s="0" t="n">
        <v>0.162536693537076</v>
      </c>
      <c r="Z7" s="0" t="n">
        <v>0.194082167281525</v>
      </c>
      <c r="AA7" s="0" t="s">
        <v>18</v>
      </c>
      <c r="AB7" s="0" t="s">
        <v>504</v>
      </c>
      <c r="AE7" s="0" t="n">
        <v>3737.47718359117</v>
      </c>
      <c r="AF7" s="0" t="n">
        <v>1.45</v>
      </c>
      <c r="AG7" s="0" t="s">
        <v>450</v>
      </c>
      <c r="AI7" s="0" t="n">
        <v>0</v>
      </c>
    </row>
    <row r="8" customFormat="false" ht="15" hidden="false" customHeight="false" outlineLevel="0" collapsed="false">
      <c r="A8" s="0" t="s">
        <v>38</v>
      </c>
      <c r="B8" s="0" t="s">
        <v>313</v>
      </c>
      <c r="C8" s="0" t="s">
        <v>501</v>
      </c>
      <c r="D8" s="0" t="s">
        <v>502</v>
      </c>
      <c r="E8" s="0" t="n">
        <v>4240</v>
      </c>
      <c r="F8" s="0" t="n">
        <v>85</v>
      </c>
      <c r="G8" s="0" t="n">
        <v>62.8</v>
      </c>
      <c r="H8" s="0" t="n">
        <v>75</v>
      </c>
      <c r="I8" s="0" t="n">
        <v>74.3</v>
      </c>
      <c r="J8" s="0" t="n">
        <v>5</v>
      </c>
      <c r="O8" s="0" t="s">
        <v>446</v>
      </c>
      <c r="R8" s="0" t="n">
        <v>6280.78871007626</v>
      </c>
      <c r="S8" s="0" t="n">
        <v>9675.58410149018</v>
      </c>
      <c r="T8" s="0" t="n">
        <v>13308.7211849242</v>
      </c>
      <c r="U8" s="0" t="n">
        <v>0.324925547455883</v>
      </c>
      <c r="V8" s="0" t="n">
        <v>0.561783562054204</v>
      </c>
      <c r="W8" s="0" t="n">
        <v>0.681411914707254</v>
      </c>
      <c r="X8" s="0" t="n">
        <v>7105.82993786026</v>
      </c>
      <c r="Y8" s="0" t="n">
        <v>0.403306856893797</v>
      </c>
      <c r="Z8" s="0" t="n">
        <v>0.675903287231194</v>
      </c>
      <c r="AA8" s="0" t="s">
        <v>14</v>
      </c>
      <c r="AB8" s="0" t="s">
        <v>505</v>
      </c>
      <c r="AE8" s="0" t="n">
        <v>7105.82993786026</v>
      </c>
      <c r="AF8" s="0" t="n">
        <v>0.45</v>
      </c>
      <c r="AG8" s="0" t="s">
        <v>448</v>
      </c>
      <c r="AI8" s="0" t="n">
        <v>0</v>
      </c>
    </row>
    <row r="9" customFormat="false" ht="15" hidden="false" customHeight="false" outlineLevel="0" collapsed="false">
      <c r="A9" s="0" t="s">
        <v>48</v>
      </c>
      <c r="B9" s="0" t="s">
        <v>315</v>
      </c>
      <c r="C9" s="0" t="s">
        <v>491</v>
      </c>
      <c r="D9" s="0" t="s">
        <v>492</v>
      </c>
      <c r="E9" s="0" t="n">
        <v>21725</v>
      </c>
      <c r="F9" s="0" t="n">
        <v>23.3</v>
      </c>
      <c r="G9" s="0" t="n">
        <v>95.6</v>
      </c>
      <c r="H9" s="0" t="n">
        <v>78.8</v>
      </c>
      <c r="I9" s="0" t="n">
        <v>65.9</v>
      </c>
      <c r="J9" s="0" t="n">
        <v>7</v>
      </c>
      <c r="K9" s="0" t="n">
        <v>10.5703697469141</v>
      </c>
      <c r="L9" s="0" t="n">
        <v>0.15245130027998</v>
      </c>
      <c r="M9" s="0" t="n">
        <v>0.0879732423978567</v>
      </c>
      <c r="N9" s="0" t="n">
        <v>6.55947176680997</v>
      </c>
      <c r="O9" s="0" t="s">
        <v>446</v>
      </c>
      <c r="P9" s="0" t="n">
        <v>15132.8567092565</v>
      </c>
      <c r="Q9" s="0" t="n">
        <v>17525.7377545661</v>
      </c>
      <c r="R9" s="0" t="n">
        <v>8894.77063352534</v>
      </c>
      <c r="S9" s="0" t="n">
        <v>10088.4787524023</v>
      </c>
      <c r="T9" s="0" t="n">
        <v>12283.1196838154</v>
      </c>
      <c r="U9" s="0" t="n">
        <v>-1.44244634236168</v>
      </c>
      <c r="V9" s="0" t="n">
        <v>-1.15344657338222</v>
      </c>
      <c r="W9" s="0" t="n">
        <v>-0.768687479991387</v>
      </c>
      <c r="X9" s="0" t="n">
        <v>13559.1996200787</v>
      </c>
      <c r="Y9" s="0" t="n">
        <v>-0.602233214992218</v>
      </c>
      <c r="Z9" s="0" t="n">
        <v>-0.375871133713292</v>
      </c>
      <c r="AA9" s="0" t="s">
        <v>20</v>
      </c>
      <c r="AB9" s="0" t="s">
        <v>506</v>
      </c>
      <c r="AF9" s="0" t="n">
        <v>0.45</v>
      </c>
      <c r="AG9" s="0" t="s">
        <v>448</v>
      </c>
      <c r="AI9" s="0" t="n">
        <v>0</v>
      </c>
    </row>
    <row r="10" customFormat="false" ht="15" hidden="false" customHeight="false" outlineLevel="0" collapsed="false">
      <c r="A10" s="0" t="s">
        <v>45</v>
      </c>
      <c r="B10" s="0" t="s">
        <v>317</v>
      </c>
      <c r="C10" s="0" t="s">
        <v>497</v>
      </c>
      <c r="D10" s="0" t="s">
        <v>498</v>
      </c>
      <c r="E10" s="0" t="n">
        <v>25125</v>
      </c>
      <c r="F10" s="0" t="n">
        <v>50</v>
      </c>
      <c r="G10" s="0" t="n">
        <v>86.7</v>
      </c>
      <c r="H10" s="0" t="n">
        <v>88.8</v>
      </c>
      <c r="I10" s="0" t="n">
        <v>75.2</v>
      </c>
      <c r="J10" s="0" t="n">
        <v>3</v>
      </c>
      <c r="K10" s="0" t="n">
        <v>9.4828366478951</v>
      </c>
      <c r="L10" s="0" t="n">
        <v>0.186944343525717</v>
      </c>
      <c r="M10" s="0" t="n">
        <v>0.221642365753753</v>
      </c>
      <c r="N10" s="0" t="n">
        <v>5.34918565140985</v>
      </c>
      <c r="O10" s="0" t="s">
        <v>446</v>
      </c>
      <c r="P10" s="0" t="n">
        <v>11931.7748090388</v>
      </c>
      <c r="Q10" s="0" t="n">
        <v>70434.6470877948</v>
      </c>
      <c r="R10" s="0" t="n">
        <v>50584.181262366</v>
      </c>
      <c r="S10" s="0" t="n">
        <v>61499.333794678</v>
      </c>
      <c r="T10" s="0" t="n">
        <v>81566.9199501328</v>
      </c>
      <c r="U10" s="0" t="n">
        <v>0.503303219050168</v>
      </c>
      <c r="V10" s="0" t="n">
        <v>0.591458989069988</v>
      </c>
      <c r="W10" s="0" t="n">
        <v>0.691970715390987</v>
      </c>
      <c r="X10" s="0" t="n">
        <v>67881.7004326185</v>
      </c>
      <c r="Y10" s="0" t="n">
        <v>0.629870792277223</v>
      </c>
      <c r="Z10" s="0" t="n">
        <v>1.70175922119875</v>
      </c>
      <c r="AA10" s="0" t="s">
        <v>18</v>
      </c>
      <c r="AB10" s="0" t="s">
        <v>507</v>
      </c>
      <c r="AF10" s="0" t="n">
        <v>1.45</v>
      </c>
      <c r="AG10" s="0" t="s">
        <v>450</v>
      </c>
      <c r="AI10" s="0" t="n">
        <v>0</v>
      </c>
    </row>
    <row r="11" customFormat="false" ht="15" hidden="false" customHeight="false" outlineLevel="0" collapsed="false">
      <c r="A11" s="0" t="s">
        <v>46</v>
      </c>
      <c r="B11" s="0" t="s">
        <v>319</v>
      </c>
      <c r="C11" s="0" t="s">
        <v>497</v>
      </c>
      <c r="D11" s="0" t="s">
        <v>498</v>
      </c>
      <c r="E11" s="0" t="n">
        <v>2370</v>
      </c>
      <c r="F11" s="0" t="n">
        <v>58.3</v>
      </c>
      <c r="G11" s="0" t="n">
        <v>78.4</v>
      </c>
      <c r="H11" s="0" t="n">
        <v>80</v>
      </c>
      <c r="I11" s="0" t="n">
        <v>72.2</v>
      </c>
      <c r="J11" s="0" t="n">
        <v>2</v>
      </c>
      <c r="K11" s="0" t="n">
        <v>2.8353029930305</v>
      </c>
      <c r="L11" s="0" t="n">
        <v>0.166023024463609</v>
      </c>
      <c r="M11" s="0" t="n">
        <v>0.140292980195781</v>
      </c>
      <c r="N11" s="0" t="n">
        <v>6.02326094968346</v>
      </c>
      <c r="O11" s="0" t="s">
        <v>446</v>
      </c>
      <c r="P11" s="0" t="n">
        <v>-565.597528496694</v>
      </c>
      <c r="Q11" s="0" t="n">
        <v>4278.13780238499</v>
      </c>
      <c r="R11" s="0" t="n">
        <v>1536.81879158397</v>
      </c>
      <c r="S11" s="0" t="n">
        <v>2348.7838387523</v>
      </c>
      <c r="T11" s="0" t="n">
        <v>3227.40498741438</v>
      </c>
      <c r="U11" s="0" t="n">
        <v>-0.542146681820109</v>
      </c>
      <c r="V11" s="0" t="n">
        <v>-0.0090328283504258</v>
      </c>
      <c r="W11" s="0" t="n">
        <v>0.265663897390604</v>
      </c>
      <c r="X11" s="0" t="n">
        <v>3726.89381277565</v>
      </c>
      <c r="Y11" s="0" t="n">
        <v>0.364081694016682</v>
      </c>
      <c r="Z11" s="0" t="n">
        <v>0.572529034926435</v>
      </c>
      <c r="AA11" s="0" t="s">
        <v>18</v>
      </c>
      <c r="AB11" s="0" t="s">
        <v>508</v>
      </c>
      <c r="AF11" s="0" t="n">
        <v>1.45</v>
      </c>
      <c r="AG11" s="0" t="s">
        <v>450</v>
      </c>
      <c r="AI11" s="0" t="n">
        <v>0</v>
      </c>
    </row>
    <row r="12" customFormat="false" ht="15" hidden="false" customHeight="false" outlineLevel="0" collapsed="false">
      <c r="A12" s="0" t="s">
        <v>50</v>
      </c>
      <c r="B12" s="0" t="s">
        <v>321</v>
      </c>
      <c r="C12" s="0" t="s">
        <v>509</v>
      </c>
      <c r="D12" s="0" t="s">
        <v>498</v>
      </c>
      <c r="E12" s="0" t="n">
        <v>2710</v>
      </c>
      <c r="F12" s="0" t="n">
        <v>68.3</v>
      </c>
      <c r="G12" s="0" t="n">
        <v>60.7</v>
      </c>
      <c r="H12" s="0" t="n">
        <v>74.8</v>
      </c>
      <c r="I12" s="0" t="n">
        <v>67.9</v>
      </c>
      <c r="J12" s="0" t="n">
        <v>3</v>
      </c>
      <c r="K12" s="0" t="n">
        <v>1.99891761988693</v>
      </c>
      <c r="L12" s="0" t="n">
        <v>0.116239302340944</v>
      </c>
      <c r="M12" s="0" t="n">
        <v>0.161193761112737</v>
      </c>
      <c r="N12" s="0" t="n">
        <v>8.60294220509757</v>
      </c>
      <c r="O12" s="0" t="s">
        <v>446</v>
      </c>
      <c r="P12" s="0" t="n">
        <v>-885.637723604334</v>
      </c>
      <c r="Q12" s="0" t="n">
        <v>2336.28408629037</v>
      </c>
      <c r="R12" s="0" t="n">
        <v>2694.96010296699</v>
      </c>
      <c r="S12" s="0" t="n">
        <v>4376.80867209451</v>
      </c>
      <c r="T12" s="0" t="n">
        <v>6213.89891945409</v>
      </c>
      <c r="U12" s="0" t="n">
        <v>-0.0055807494205414</v>
      </c>
      <c r="V12" s="0" t="n">
        <v>0.380827401188835</v>
      </c>
      <c r="W12" s="0" t="n">
        <v>0.563880900682871</v>
      </c>
      <c r="X12" s="0" t="n">
        <v>2919.29111080584</v>
      </c>
      <c r="Y12" s="0" t="n">
        <v>0.071692442741028</v>
      </c>
      <c r="Z12" s="0" t="n">
        <v>0.0772291921792767</v>
      </c>
      <c r="AA12" s="0" t="s">
        <v>20</v>
      </c>
      <c r="AB12" s="0" t="s">
        <v>510</v>
      </c>
      <c r="AF12" s="0" t="n">
        <v>0.45</v>
      </c>
      <c r="AG12" s="0" t="s">
        <v>448</v>
      </c>
      <c r="AI12" s="0" t="n">
        <v>0</v>
      </c>
    </row>
    <row r="13" customFormat="false" ht="15" hidden="false" customHeight="false" outlineLevel="0" collapsed="false">
      <c r="A13" s="0" t="s">
        <v>51</v>
      </c>
      <c r="B13" s="0" t="s">
        <v>323</v>
      </c>
      <c r="C13" s="0" t="s">
        <v>491</v>
      </c>
      <c r="D13" s="0" t="s">
        <v>492</v>
      </c>
      <c r="E13" s="0" t="n">
        <v>1820</v>
      </c>
      <c r="F13" s="0" t="n">
        <v>73.3</v>
      </c>
      <c r="G13" s="0" t="n">
        <v>60.1</v>
      </c>
      <c r="H13" s="0" t="n">
        <v>48</v>
      </c>
      <c r="I13" s="0" t="n">
        <v>60.5</v>
      </c>
      <c r="J13" s="0" t="n">
        <v>5</v>
      </c>
      <c r="K13" s="0" t="n">
        <v>0.475639744198858</v>
      </c>
      <c r="L13" s="0" t="n">
        <v>0.0603234907424612</v>
      </c>
      <c r="M13" s="0" t="n">
        <v>0.427285198050828</v>
      </c>
      <c r="N13" s="0" t="n">
        <v>16.577290002485</v>
      </c>
      <c r="O13" s="0" t="s">
        <v>446</v>
      </c>
      <c r="P13" s="0" t="n">
        <v>-172.935774573702</v>
      </c>
      <c r="Q13" s="0" t="n">
        <v>966.096709134508</v>
      </c>
      <c r="R13" s="0" t="n">
        <v>580.237216013122</v>
      </c>
      <c r="S13" s="0" t="n">
        <v>730.427905777125</v>
      </c>
      <c r="T13" s="0" t="n">
        <v>1006.55456526852</v>
      </c>
      <c r="U13" s="0" t="n">
        <v>-2.13664816694357</v>
      </c>
      <c r="V13" s="0" t="n">
        <v>-1.49169012520633</v>
      </c>
      <c r="W13" s="0" t="n">
        <v>-0.808148373470924</v>
      </c>
      <c r="X13" s="0" t="n">
        <v>840.406680677237</v>
      </c>
      <c r="Y13" s="0" t="n">
        <v>-1</v>
      </c>
      <c r="Z13" s="0" t="n">
        <v>-0.53823808753998</v>
      </c>
      <c r="AA13" s="0" t="s">
        <v>20</v>
      </c>
      <c r="AB13" s="0" t="s">
        <v>511</v>
      </c>
      <c r="AF13" s="0" t="n">
        <v>0.45</v>
      </c>
      <c r="AG13" s="0" t="s">
        <v>448</v>
      </c>
      <c r="AI1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10" min="8" style="0" width="11"/>
    <col collapsed="false" customWidth="true" hidden="false" outlineLevel="0" max="12" min="11" style="0" width="14"/>
    <col collapsed="false" customWidth="true" hidden="false" outlineLevel="0" max="13" min="13" style="0" width="17"/>
    <col collapsed="false" customWidth="true" hidden="false" outlineLevel="0" max="14" min="14" style="0" width="22"/>
    <col collapsed="false" customWidth="true" hidden="false" outlineLevel="0" max="15" min="15" style="0" width="13"/>
    <col collapsed="false" customWidth="true" hidden="false" outlineLevel="0" max="16" min="16" style="0" width="34"/>
    <col collapsed="false" customWidth="true" hidden="false" outlineLevel="0" max="17" min="17" style="0" width="20"/>
    <col collapsed="false" customWidth="true" hidden="false" outlineLevel="0" max="18" min="18" style="0" width="24"/>
    <col collapsed="false" customWidth="true" hidden="false" outlineLevel="0" max="19" min="19" style="0" width="11"/>
    <col collapsed="false" customWidth="true" hidden="false" outlineLevel="0" max="20" min="20" style="0" width="14"/>
    <col collapsed="false" customWidth="true" hidden="false" outlineLevel="0" max="21" min="21" style="0" width="15"/>
    <col collapsed="false" customWidth="true" hidden="false" outlineLevel="0" max="22" min="22" style="0" width="20"/>
    <col collapsed="false" customWidth="true" hidden="false" outlineLevel="0" max="23" min="23" style="0" width="16"/>
    <col collapsed="false" customWidth="true" hidden="false" outlineLevel="0" max="24" min="24" style="0" width="11"/>
    <col collapsed="false" customWidth="true" hidden="false" outlineLevel="0" max="25" min="25" style="0" width="20"/>
    <col collapsed="false" customWidth="true" hidden="false" outlineLevel="0" max="26" min="26" style="0" width="17"/>
    <col collapsed="false" customWidth="true" hidden="false" outlineLevel="0" max="27" min="27" style="0" width="18"/>
    <col collapsed="false" customWidth="true" hidden="false" outlineLevel="0" max="28" min="28" style="0" width="17"/>
    <col collapsed="false" customWidth="true" hidden="false" outlineLevel="0" max="29" min="29" style="0" width="19"/>
    <col collapsed="false" customWidth="true" hidden="false" outlineLevel="0" max="30" min="30" style="0" width="20"/>
    <col collapsed="false" customWidth="true" hidden="false" outlineLevel="0" max="31" min="31" style="0" width="14"/>
    <col collapsed="false" customWidth="true" hidden="false" outlineLevel="0" max="33" min="32" style="0" width="25"/>
  </cols>
  <sheetData>
    <row r="1" customFormat="false" ht="15" hidden="false" customHeight="false" outlineLevel="0" collapsed="false">
      <c r="A1" s="52" t="s">
        <v>27</v>
      </c>
      <c r="B1" s="52" t="s">
        <v>512</v>
      </c>
      <c r="C1" s="52" t="s">
        <v>513</v>
      </c>
      <c r="D1" s="52" t="s">
        <v>514</v>
      </c>
      <c r="E1" s="52" t="s">
        <v>515</v>
      </c>
      <c r="F1" s="52" t="s">
        <v>516</v>
      </c>
      <c r="G1" s="52" t="s">
        <v>517</v>
      </c>
      <c r="H1" s="52" t="s">
        <v>172</v>
      </c>
      <c r="I1" s="52" t="s">
        <v>518</v>
      </c>
      <c r="J1" s="52" t="s">
        <v>519</v>
      </c>
      <c r="K1" s="52" t="s">
        <v>520</v>
      </c>
      <c r="L1" s="52" t="s">
        <v>521</v>
      </c>
      <c r="M1" s="52" t="s">
        <v>522</v>
      </c>
      <c r="N1" s="52" t="s">
        <v>523</v>
      </c>
      <c r="O1" s="52" t="s">
        <v>524</v>
      </c>
      <c r="P1" s="52" t="s">
        <v>525</v>
      </c>
      <c r="Q1" s="52" t="s">
        <v>526</v>
      </c>
      <c r="R1" s="52" t="s">
        <v>527</v>
      </c>
      <c r="S1" s="52" t="s">
        <v>528</v>
      </c>
      <c r="T1" s="52" t="s">
        <v>529</v>
      </c>
      <c r="U1" s="52" t="s">
        <v>530</v>
      </c>
      <c r="V1" s="52" t="s">
        <v>531</v>
      </c>
      <c r="W1" s="52" t="s">
        <v>532</v>
      </c>
      <c r="X1" s="52" t="s">
        <v>533</v>
      </c>
      <c r="Y1" s="52" t="s">
        <v>534</v>
      </c>
      <c r="Z1" s="52" t="s">
        <v>535</v>
      </c>
      <c r="AA1" s="52" t="s">
        <v>536</v>
      </c>
      <c r="AB1" s="52" t="s">
        <v>537</v>
      </c>
      <c r="AC1" s="52" t="s">
        <v>538</v>
      </c>
      <c r="AD1" s="52" t="s">
        <v>539</v>
      </c>
      <c r="AE1" s="52" t="s">
        <v>540</v>
      </c>
      <c r="AF1" s="52" t="s">
        <v>541</v>
      </c>
      <c r="AG1" s="52" t="s">
        <v>542</v>
      </c>
    </row>
    <row r="2" customFormat="false" ht="15" hidden="false" customHeight="false" outlineLevel="0" collapsed="false">
      <c r="A2" s="0" t="s">
        <v>44</v>
      </c>
      <c r="B2" s="0" t="s">
        <v>543</v>
      </c>
      <c r="C2" s="0" t="s">
        <v>544</v>
      </c>
      <c r="D2" s="0" t="n">
        <v>7023961000000</v>
      </c>
      <c r="E2" s="0" t="n">
        <v>6086681000000</v>
      </c>
      <c r="F2" s="0" t="n">
        <v>937280000000</v>
      </c>
      <c r="H2" s="0" t="n">
        <v>419037000000</v>
      </c>
      <c r="I2" s="0" t="n">
        <v>458603000000</v>
      </c>
      <c r="J2" s="0" t="n">
        <v>277032000000</v>
      </c>
      <c r="K2" s="0" t="n">
        <v>370798000000</v>
      </c>
      <c r="L2" s="0" t="n">
        <v>85875000000</v>
      </c>
      <c r="M2" s="0" t="n">
        <v>48239000000</v>
      </c>
      <c r="N2" s="0" t="n">
        <v>1924688333</v>
      </c>
      <c r="O2" s="0" t="n">
        <v>29753101000000</v>
      </c>
      <c r="P2" s="0" t="n">
        <v>6291533000000</v>
      </c>
      <c r="Q2" s="0" t="n">
        <v>22918950000000</v>
      </c>
      <c r="R2" s="0" t="n">
        <v>5338299000000</v>
      </c>
      <c r="S2" s="0" t="n">
        <v>3189708000000</v>
      </c>
      <c r="T2" s="0" t="n">
        <v>1500000000000</v>
      </c>
      <c r="U2" s="0" t="n">
        <v>9912504000000</v>
      </c>
      <c r="V2" s="0" t="n">
        <v>3923861000000</v>
      </c>
      <c r="W2" s="0" t="n">
        <v>5988643000000</v>
      </c>
      <c r="X2" s="0" t="n">
        <v>3273101000000</v>
      </c>
      <c r="Y2" s="0" t="n">
        <v>576427000000</v>
      </c>
      <c r="Z2" s="0" t="n">
        <v>760256000000</v>
      </c>
      <c r="AA2" s="0" t="n">
        <v>17918555000000</v>
      </c>
      <c r="AB2" s="0" t="n">
        <v>26108658000000</v>
      </c>
      <c r="AD2" s="0" t="n">
        <v>-109106000000</v>
      </c>
      <c r="AE2" s="0" t="n">
        <v>2206705000000</v>
      </c>
      <c r="AF2" s="0" t="s">
        <v>545</v>
      </c>
      <c r="AG2" s="0" t="s">
        <v>546</v>
      </c>
    </row>
    <row r="3" customFormat="false" ht="15" hidden="false" customHeight="false" outlineLevel="0" collapsed="false">
      <c r="A3" s="0" t="s">
        <v>44</v>
      </c>
      <c r="B3" s="0" t="s">
        <v>543</v>
      </c>
      <c r="C3" s="0" t="s">
        <v>547</v>
      </c>
      <c r="D3" s="0" t="n">
        <v>7422828000000</v>
      </c>
      <c r="E3" s="0" t="n">
        <v>6112447000000</v>
      </c>
      <c r="F3" s="0" t="n">
        <v>1310381000000</v>
      </c>
      <c r="G3" s="0" t="n">
        <v>596696000000</v>
      </c>
      <c r="H3" s="0" t="n">
        <v>667582000000</v>
      </c>
      <c r="I3" s="0" t="n">
        <v>707407000000</v>
      </c>
      <c r="J3" s="0" t="n">
        <v>425089000000</v>
      </c>
      <c r="K3" s="0" t="n">
        <v>618921000000</v>
      </c>
      <c r="L3" s="0" t="n">
        <v>176754000000</v>
      </c>
      <c r="M3" s="0" t="n">
        <v>48661000000</v>
      </c>
      <c r="O3" s="0" t="n">
        <v>30505379000000</v>
      </c>
      <c r="P3" s="0" t="n">
        <v>6955786000000</v>
      </c>
      <c r="Q3" s="0" t="n">
        <v>22989897000000</v>
      </c>
      <c r="R3" s="0" t="n">
        <v>6324684000000</v>
      </c>
      <c r="S3" s="0" t="n">
        <v>3189879000000</v>
      </c>
      <c r="T3" s="0" t="n">
        <v>1500000000000</v>
      </c>
      <c r="U3" s="0" t="n">
        <v>11413558000000</v>
      </c>
      <c r="V3" s="0" t="n">
        <v>4556675000000</v>
      </c>
      <c r="W3" s="0" t="n">
        <v>6856883000000</v>
      </c>
      <c r="X3" s="0" t="n">
        <v>3401310000000</v>
      </c>
      <c r="Y3" s="0" t="n">
        <v>799809000000</v>
      </c>
      <c r="Z3" s="0" t="n">
        <v>1017352000000</v>
      </c>
      <c r="AA3" s="0" t="n">
        <v>17989502000000</v>
      </c>
      <c r="AB3" s="0" t="n">
        <v>26179776000000</v>
      </c>
      <c r="AD3" s="0" t="n">
        <v>-140722000000</v>
      </c>
      <c r="AE3" s="0" t="n">
        <v>1391176000000</v>
      </c>
      <c r="AF3" s="0" t="s">
        <v>548</v>
      </c>
      <c r="AG3" s="0" t="s">
        <v>549</v>
      </c>
    </row>
    <row r="4" customFormat="false" ht="15" hidden="false" customHeight="false" outlineLevel="0" collapsed="false">
      <c r="A4" s="0" t="s">
        <v>44</v>
      </c>
      <c r="B4" s="0" t="s">
        <v>543</v>
      </c>
      <c r="C4" s="0" t="s">
        <v>550</v>
      </c>
      <c r="G4" s="0" t="n">
        <v>583243000000</v>
      </c>
      <c r="AF4" s="0" t="s">
        <v>551</v>
      </c>
      <c r="AG4" s="0" t="s">
        <v>552</v>
      </c>
    </row>
    <row r="5" customFormat="false" ht="15" hidden="false" customHeight="false" outlineLevel="0" collapsed="false">
      <c r="A5" s="0" t="s">
        <v>44</v>
      </c>
      <c r="B5" s="0" t="s">
        <v>543</v>
      </c>
      <c r="C5" s="0" t="s">
        <v>553</v>
      </c>
      <c r="D5" s="0" t="n">
        <v>6535932000000</v>
      </c>
      <c r="E5" s="0" t="n">
        <v>5166996000000</v>
      </c>
      <c r="F5" s="0" t="n">
        <v>1368936000000</v>
      </c>
      <c r="G5" s="0" t="n">
        <v>894217000000</v>
      </c>
      <c r="H5" s="0" t="n">
        <v>669917000000</v>
      </c>
      <c r="I5" s="0" t="n">
        <v>718456000000</v>
      </c>
      <c r="J5" s="0" t="n">
        <v>401599000000</v>
      </c>
      <c r="K5" s="0" t="n">
        <v>670631000000</v>
      </c>
      <c r="L5" s="0" t="n">
        <v>245414000000</v>
      </c>
      <c r="M5" s="0" t="n">
        <v>-714000000</v>
      </c>
      <c r="O5" s="0" t="n">
        <v>27047104000000</v>
      </c>
      <c r="P5" s="0" t="n">
        <v>2889470000000</v>
      </c>
      <c r="Q5" s="0" t="n">
        <v>23556137000000</v>
      </c>
      <c r="R5" s="0" t="n">
        <v>2755715000000</v>
      </c>
      <c r="S5" s="0" t="n">
        <v>0</v>
      </c>
      <c r="T5" s="0" t="n">
        <v>0</v>
      </c>
      <c r="U5" s="0" t="n">
        <v>8662790000000</v>
      </c>
      <c r="V5" s="0" t="n">
        <v>2000352000000</v>
      </c>
      <c r="W5" s="0" t="n">
        <v>6662438000000</v>
      </c>
      <c r="X5" s="0" t="n">
        <v>3518626000000</v>
      </c>
      <c r="Y5" s="0" t="n">
        <v>1206608000000</v>
      </c>
      <c r="Z5" s="0" t="n">
        <v>911323000000</v>
      </c>
      <c r="AA5" s="0" t="n">
        <v>18555742000000</v>
      </c>
      <c r="AB5" s="0" t="n">
        <v>23556137000000</v>
      </c>
      <c r="AD5" s="0" t="n">
        <v>-350655000000</v>
      </c>
      <c r="AE5" s="0" t="n">
        <v>-1896429000000</v>
      </c>
      <c r="AF5" s="0" t="s">
        <v>554</v>
      </c>
      <c r="AG5" s="0" t="s">
        <v>555</v>
      </c>
    </row>
    <row r="6" customFormat="false" ht="15" hidden="false" customHeight="false" outlineLevel="0" collapsed="false">
      <c r="A6" s="0" t="s">
        <v>44</v>
      </c>
      <c r="B6" s="0" t="s">
        <v>543</v>
      </c>
      <c r="C6" s="0" t="s">
        <v>450</v>
      </c>
      <c r="D6" s="0" t="n">
        <v>7501811000000</v>
      </c>
      <c r="E6" s="0" t="n">
        <v>6339279000000</v>
      </c>
      <c r="F6" s="0" t="n">
        <v>1162532000000</v>
      </c>
      <c r="G6" s="0" t="n">
        <v>757496000000</v>
      </c>
      <c r="H6" s="0" t="n">
        <v>540045000000</v>
      </c>
      <c r="I6" s="0" t="n">
        <v>579087000000</v>
      </c>
      <c r="J6" s="0" t="n">
        <v>373407000000</v>
      </c>
      <c r="K6" s="0" t="n">
        <v>540045000000</v>
      </c>
      <c r="L6" s="0" t="n">
        <v>151604000000</v>
      </c>
      <c r="M6" s="0" t="n">
        <v>0</v>
      </c>
      <c r="N6" s="0" t="n">
        <v>1924688333</v>
      </c>
      <c r="O6" s="0" t="n">
        <v>27893355000000</v>
      </c>
      <c r="P6" s="0" t="n">
        <v>3359838000000</v>
      </c>
      <c r="Q6" s="0" t="n">
        <v>23917380000000</v>
      </c>
      <c r="R6" s="0" t="n">
        <v>4703854000000</v>
      </c>
      <c r="S6" s="0" t="n">
        <v>0</v>
      </c>
      <c r="T6" s="0" t="n">
        <v>0</v>
      </c>
      <c r="U6" s="0" t="n">
        <v>9770714000000</v>
      </c>
      <c r="V6" s="0" t="n">
        <v>2442686000000</v>
      </c>
      <c r="W6" s="0" t="n">
        <v>7328028000000</v>
      </c>
      <c r="X6" s="0" t="n">
        <v>3015015000000</v>
      </c>
      <c r="Y6" s="0" t="n">
        <v>897024000000</v>
      </c>
      <c r="Z6" s="0" t="n">
        <v>893981000000</v>
      </c>
      <c r="AA6" s="0" t="n">
        <v>18916985000000</v>
      </c>
      <c r="AB6" s="0" t="n">
        <v>23917380000000</v>
      </c>
      <c r="AD6" s="0" t="n">
        <v>-137958000000</v>
      </c>
      <c r="AE6" s="0" t="n">
        <v>1946108000000</v>
      </c>
      <c r="AF6" s="0" t="s">
        <v>556</v>
      </c>
      <c r="AG6" s="0" t="s">
        <v>557</v>
      </c>
    </row>
    <row r="7" customFormat="false" ht="15" hidden="false" customHeight="false" outlineLevel="0" collapsed="false">
      <c r="A7" s="0" t="s">
        <v>44</v>
      </c>
      <c r="B7" s="0" t="s">
        <v>543</v>
      </c>
      <c r="C7" s="0" t="s">
        <v>448</v>
      </c>
      <c r="D7" s="0" t="n">
        <v>7757236000000</v>
      </c>
      <c r="E7" s="0" t="n">
        <v>6390405000000</v>
      </c>
      <c r="F7" s="0" t="n">
        <v>1366831000000</v>
      </c>
      <c r="G7" s="0" t="n">
        <v>890733000000</v>
      </c>
      <c r="H7" s="0" t="n">
        <v>980909000000</v>
      </c>
      <c r="I7" s="0" t="n">
        <v>1020474000000</v>
      </c>
      <c r="J7" s="0" t="n">
        <v>725482000000</v>
      </c>
      <c r="K7" s="0" t="n">
        <v>980909000000</v>
      </c>
      <c r="L7" s="0" t="n">
        <v>228464000000</v>
      </c>
      <c r="M7" s="0" t="n">
        <v>0</v>
      </c>
      <c r="O7" s="0" t="n">
        <v>28854423000000</v>
      </c>
      <c r="P7" s="0" t="n">
        <v>4248033000000</v>
      </c>
      <c r="Q7" s="0" t="n">
        <v>23998090000000</v>
      </c>
      <c r="R7" s="0" t="n">
        <v>5149236000000</v>
      </c>
      <c r="S7" s="0" t="n">
        <v>0</v>
      </c>
      <c r="T7" s="0" t="n">
        <v>0</v>
      </c>
      <c r="U7" s="0" t="n">
        <v>10999829000000</v>
      </c>
      <c r="V7" s="0" t="n">
        <v>3300969000000</v>
      </c>
      <c r="W7" s="0" t="n">
        <v>7698860000000</v>
      </c>
      <c r="X7" s="0" t="n">
        <v>3845563000000</v>
      </c>
      <c r="Y7" s="0" t="n">
        <v>766009000000</v>
      </c>
      <c r="Z7" s="0" t="n">
        <v>1225014000000</v>
      </c>
      <c r="AA7" s="0" t="n">
        <v>18997695000000</v>
      </c>
      <c r="AB7" s="0" t="n">
        <v>23998090000000</v>
      </c>
      <c r="AD7" s="0" t="n">
        <v>-196641000000</v>
      </c>
      <c r="AE7" s="0" t="n">
        <v>1059614000000</v>
      </c>
      <c r="AF7" s="0" t="s">
        <v>558</v>
      </c>
      <c r="AG7" s="0" t="s">
        <v>559</v>
      </c>
    </row>
    <row r="8" customFormat="false" ht="15" hidden="false" customHeight="false" outlineLevel="0" collapsed="false">
      <c r="A8" s="0" t="s">
        <v>79</v>
      </c>
      <c r="B8" s="0" t="s">
        <v>543</v>
      </c>
      <c r="C8" s="0" t="s">
        <v>560</v>
      </c>
      <c r="T8" s="0" t="n">
        <v>0</v>
      </c>
      <c r="AD8" s="0" t="n">
        <v>-261221243</v>
      </c>
      <c r="AF8" s="0" t="s">
        <v>561</v>
      </c>
      <c r="AG8" s="0" t="s">
        <v>562</v>
      </c>
    </row>
    <row r="9" customFormat="false" ht="15" hidden="false" customHeight="false" outlineLevel="0" collapsed="false">
      <c r="A9" s="0" t="s">
        <v>79</v>
      </c>
      <c r="B9" s="0" t="s">
        <v>543</v>
      </c>
      <c r="C9" s="0" t="s">
        <v>544</v>
      </c>
      <c r="D9" s="0" t="n">
        <v>47750348753</v>
      </c>
      <c r="E9" s="0" t="n">
        <v>29929453209</v>
      </c>
      <c r="F9" s="0" t="n">
        <v>17820895544</v>
      </c>
      <c r="G9" s="0" t="n">
        <v>-2481166408</v>
      </c>
      <c r="H9" s="0" t="n">
        <v>-4293679513</v>
      </c>
      <c r="I9" s="0" t="n">
        <v>-2717474940</v>
      </c>
      <c r="J9" s="0" t="n">
        <v>-4580211250</v>
      </c>
      <c r="K9" s="0" t="n">
        <v>-5118686898</v>
      </c>
      <c r="L9" s="0" t="n">
        <v>638548123</v>
      </c>
      <c r="M9" s="0" t="n">
        <v>825007385</v>
      </c>
      <c r="N9" s="0" t="n">
        <v>3935892857</v>
      </c>
      <c r="O9" s="0" t="n">
        <v>231057199576</v>
      </c>
      <c r="P9" s="0" t="n">
        <v>350530955218</v>
      </c>
      <c r="Q9" s="0" t="n">
        <v>11658550545</v>
      </c>
      <c r="R9" s="0" t="n">
        <v>15602246187</v>
      </c>
      <c r="S9" s="0" t="n">
        <v>100731710095</v>
      </c>
      <c r="U9" s="0" t="n">
        <v>110611547671</v>
      </c>
      <c r="V9" s="0" t="n">
        <v>204476268849</v>
      </c>
      <c r="W9" s="0" t="n">
        <v>-93864721178</v>
      </c>
      <c r="X9" s="0" t="n">
        <v>1736844716</v>
      </c>
      <c r="Y9" s="0" t="n">
        <v>54899961296</v>
      </c>
      <c r="Z9" s="0" t="n">
        <v>40728945397</v>
      </c>
      <c r="AA9" s="0" t="n">
        <v>-354520514607</v>
      </c>
      <c r="AB9" s="0" t="n">
        <v>109596481274</v>
      </c>
      <c r="AD9" s="0" t="n">
        <v>-196800440</v>
      </c>
      <c r="AE9" s="0" t="n">
        <v>1777825495</v>
      </c>
      <c r="AF9" s="0" t="s">
        <v>563</v>
      </c>
      <c r="AG9" s="0" t="s">
        <v>564</v>
      </c>
    </row>
    <row r="10" customFormat="false" ht="15" hidden="false" customHeight="false" outlineLevel="0" collapsed="false">
      <c r="A10" s="0" t="s">
        <v>79</v>
      </c>
      <c r="B10" s="0" t="s">
        <v>543</v>
      </c>
      <c r="C10" s="0" t="s">
        <v>547</v>
      </c>
      <c r="D10" s="0" t="n">
        <v>30156327406</v>
      </c>
      <c r="E10" s="0" t="n">
        <v>17086120419</v>
      </c>
      <c r="F10" s="0" t="n">
        <v>13070206987</v>
      </c>
      <c r="G10" s="0" t="n">
        <v>-4702781411</v>
      </c>
      <c r="H10" s="0" t="n">
        <v>-4689232184</v>
      </c>
      <c r="I10" s="0" t="n">
        <v>-2937405653</v>
      </c>
      <c r="J10" s="0" t="n">
        <v>-5461320881</v>
      </c>
      <c r="K10" s="0" t="n">
        <v>-5595002744</v>
      </c>
      <c r="L10" s="0" t="n">
        <v>6957468</v>
      </c>
      <c r="M10" s="0" t="n">
        <v>905770560</v>
      </c>
      <c r="O10" s="0" t="n">
        <v>262726760367</v>
      </c>
      <c r="P10" s="0" t="n">
        <v>349064383166</v>
      </c>
      <c r="Q10" s="0" t="n">
        <v>44935322719</v>
      </c>
      <c r="R10" s="0" t="n">
        <v>14002934741</v>
      </c>
      <c r="S10" s="0" t="n">
        <v>100183163017</v>
      </c>
      <c r="T10" s="0" t="n">
        <v>160871950</v>
      </c>
      <c r="U10" s="0" t="n">
        <v>106983318438</v>
      </c>
      <c r="V10" s="0" t="n">
        <v>201540767101</v>
      </c>
      <c r="W10" s="0" t="n">
        <v>-94557448663</v>
      </c>
      <c r="X10" s="0" t="n">
        <v>1731992637</v>
      </c>
      <c r="Y10" s="0" t="n">
        <v>51128319381</v>
      </c>
      <c r="Z10" s="0" t="n">
        <v>45369969683</v>
      </c>
      <c r="AA10" s="0" t="n">
        <v>-359981835488</v>
      </c>
      <c r="AB10" s="0" t="n">
        <v>142377971767</v>
      </c>
      <c r="AD10" s="0" t="n">
        <v>-426517365</v>
      </c>
      <c r="AE10" s="0" t="n">
        <v>-3499450543</v>
      </c>
      <c r="AF10" s="0" t="s">
        <v>565</v>
      </c>
      <c r="AG10" s="0" t="s">
        <v>566</v>
      </c>
    </row>
    <row r="11" customFormat="false" ht="15" hidden="false" customHeight="false" outlineLevel="0" collapsed="false">
      <c r="A11" s="0" t="s">
        <v>79</v>
      </c>
      <c r="B11" s="0" t="s">
        <v>543</v>
      </c>
      <c r="C11" s="0" t="s">
        <v>550</v>
      </c>
      <c r="D11" s="0" t="n">
        <v>49022369572</v>
      </c>
      <c r="E11" s="0" t="n">
        <v>33172947943</v>
      </c>
      <c r="F11" s="0" t="n">
        <v>15849421629</v>
      </c>
      <c r="G11" s="0" t="n">
        <v>1327112155</v>
      </c>
      <c r="H11" s="0" t="n">
        <v>-3183322337</v>
      </c>
      <c r="I11" s="0" t="n">
        <v>-1696743435</v>
      </c>
      <c r="J11" s="0" t="n">
        <v>-4071418300</v>
      </c>
      <c r="K11" s="0" t="n">
        <v>-4037910305</v>
      </c>
      <c r="L11" s="0" t="n">
        <v>124650947</v>
      </c>
      <c r="M11" s="0" t="n">
        <v>854587968</v>
      </c>
      <c r="O11" s="0" t="n">
        <v>269119295247</v>
      </c>
      <c r="P11" s="0" t="n">
        <v>354459271895</v>
      </c>
      <c r="Q11" s="0" t="n">
        <v>46024111822</v>
      </c>
      <c r="R11" s="0" t="n">
        <v>16530664121</v>
      </c>
      <c r="S11" s="0" t="n">
        <v>102111319004</v>
      </c>
      <c r="T11" s="0" t="n">
        <v>92846424</v>
      </c>
      <c r="U11" s="0" t="n">
        <v>111356059462</v>
      </c>
      <c r="V11" s="0" t="n">
        <v>211735909080</v>
      </c>
      <c r="W11" s="0" t="n">
        <v>-100379849618</v>
      </c>
      <c r="X11" s="0" t="n">
        <v>1725442963</v>
      </c>
      <c r="Y11" s="0" t="n">
        <v>50460588759</v>
      </c>
      <c r="Z11" s="0" t="n">
        <v>54371340316</v>
      </c>
      <c r="AA11" s="0" t="n">
        <v>-364053253788</v>
      </c>
      <c r="AB11" s="0" t="n">
        <v>145449670273</v>
      </c>
      <c r="AD11" s="0" t="n">
        <v>-439228925</v>
      </c>
      <c r="AE11" s="0" t="n">
        <v>-340947777</v>
      </c>
      <c r="AF11" s="0" t="s">
        <v>567</v>
      </c>
      <c r="AG11" s="0" t="s">
        <v>568</v>
      </c>
    </row>
    <row r="12" customFormat="false" ht="15" hidden="false" customHeight="false" outlineLevel="0" collapsed="false">
      <c r="A12" s="0" t="s">
        <v>79</v>
      </c>
      <c r="B12" s="0" t="s">
        <v>543</v>
      </c>
      <c r="C12" s="0" t="s">
        <v>553</v>
      </c>
      <c r="D12" s="0" t="n">
        <v>57515357498</v>
      </c>
      <c r="E12" s="0" t="n">
        <v>46009885997</v>
      </c>
      <c r="F12" s="0" t="n">
        <v>11505471501</v>
      </c>
      <c r="G12" s="0" t="n">
        <v>-9342334854</v>
      </c>
      <c r="H12" s="0" t="n">
        <v>-7563069498</v>
      </c>
      <c r="I12" s="0" t="n">
        <v>-5763370577</v>
      </c>
      <c r="J12" s="0" t="n">
        <v>-9528896947</v>
      </c>
      <c r="K12" s="0" t="n">
        <v>-8386176382</v>
      </c>
      <c r="L12" s="0" t="n">
        <v>1769262573</v>
      </c>
      <c r="M12" s="0" t="n">
        <v>823106884</v>
      </c>
      <c r="O12" s="0" t="n">
        <v>250182456540</v>
      </c>
      <c r="P12" s="0" t="n">
        <v>350020715165</v>
      </c>
      <c r="Q12" s="0" t="n">
        <v>32189845625</v>
      </c>
      <c r="R12" s="0" t="n">
        <v>20713731072</v>
      </c>
      <c r="S12" s="0" t="n">
        <v>101836730176</v>
      </c>
      <c r="T12" s="0" t="n">
        <v>84187239</v>
      </c>
      <c r="U12" s="0" t="n">
        <v>101874505096</v>
      </c>
      <c r="V12" s="0" t="n">
        <v>204968466452</v>
      </c>
      <c r="W12" s="0" t="n">
        <v>-103093961356</v>
      </c>
      <c r="X12" s="0" t="n">
        <v>1724612843</v>
      </c>
      <c r="Y12" s="0" t="n">
        <v>44078740902</v>
      </c>
      <c r="Z12" s="0" t="n">
        <v>52971335166</v>
      </c>
      <c r="AA12" s="0" t="n">
        <v>-371867278016</v>
      </c>
      <c r="AB12" s="0" t="n">
        <v>131372116689</v>
      </c>
      <c r="AE12" s="0" t="n">
        <v>3909994629</v>
      </c>
      <c r="AF12" s="0" t="s">
        <v>569</v>
      </c>
      <c r="AG12" s="0" t="s">
        <v>570</v>
      </c>
    </row>
    <row r="13" customFormat="false" ht="15" hidden="false" customHeight="false" outlineLevel="0" collapsed="false">
      <c r="A13" s="0" t="s">
        <v>79</v>
      </c>
      <c r="B13" s="0" t="s">
        <v>543</v>
      </c>
      <c r="C13" s="0" t="s">
        <v>450</v>
      </c>
      <c r="D13" s="0" t="n">
        <v>28176314178</v>
      </c>
      <c r="E13" s="0" t="n">
        <v>15112328243</v>
      </c>
      <c r="F13" s="0" t="n">
        <v>13063985935</v>
      </c>
      <c r="G13" s="0" t="n">
        <v>-6611651458</v>
      </c>
      <c r="H13" s="0" t="n">
        <v>-6791874703</v>
      </c>
      <c r="I13" s="0" t="n">
        <v>-5345519868</v>
      </c>
      <c r="J13" s="0" t="n">
        <v>-6610330158</v>
      </c>
      <c r="K13" s="0" t="n">
        <v>-7636997621</v>
      </c>
      <c r="L13" s="0" t="n">
        <v>32412241</v>
      </c>
      <c r="M13" s="0" t="n">
        <v>845122918</v>
      </c>
      <c r="N13" s="0" t="n">
        <v>3935892857</v>
      </c>
      <c r="O13" s="0" t="n">
        <v>231255416879</v>
      </c>
      <c r="P13" s="0" t="n">
        <v>339623119933</v>
      </c>
      <c r="Q13" s="0" t="n">
        <v>24717892681</v>
      </c>
      <c r="R13" s="0" t="n">
        <v>18275402303</v>
      </c>
      <c r="S13" s="0" t="n">
        <v>101022250663</v>
      </c>
      <c r="T13" s="0" t="n">
        <v>123761232</v>
      </c>
      <c r="U13" s="0" t="n">
        <v>89804351709</v>
      </c>
      <c r="V13" s="0" t="n">
        <v>197865538038</v>
      </c>
      <c r="W13" s="0" t="n">
        <v>-108061186329</v>
      </c>
      <c r="X13" s="0" t="n">
        <v>1721064547</v>
      </c>
      <c r="Y13" s="0" t="n">
        <v>34466548891</v>
      </c>
      <c r="Z13" s="0" t="n">
        <v>45911967021</v>
      </c>
      <c r="AA13" s="0" t="n">
        <v>-378479196393</v>
      </c>
      <c r="AB13" s="0" t="n">
        <v>123736905303</v>
      </c>
      <c r="AD13" s="0" t="n">
        <v>-74058066</v>
      </c>
      <c r="AE13" s="0" t="n">
        <v>-5484120286</v>
      </c>
      <c r="AF13" s="0" t="s">
        <v>571</v>
      </c>
      <c r="AG13" s="0" t="s">
        <v>572</v>
      </c>
    </row>
    <row r="14" customFormat="false" ht="15" hidden="false" customHeight="false" outlineLevel="0" collapsed="false">
      <c r="A14" s="0" t="s">
        <v>47</v>
      </c>
      <c r="B14" s="0" t="s">
        <v>543</v>
      </c>
      <c r="C14" s="0" t="s">
        <v>560</v>
      </c>
      <c r="D14" s="0" t="n">
        <v>-42495469104000</v>
      </c>
      <c r="E14" s="0" t="n">
        <v>-26688274492000</v>
      </c>
      <c r="F14" s="0" t="n">
        <v>-15807194612000</v>
      </c>
      <c r="G14" s="0" t="n">
        <v>-13752950024000</v>
      </c>
      <c r="H14" s="0" t="n">
        <v>-14854542736000</v>
      </c>
      <c r="I14" s="0" t="n">
        <v>-14854542736000</v>
      </c>
      <c r="J14" s="0" t="n">
        <v>3529398180000</v>
      </c>
      <c r="K14" s="0" t="n">
        <v>-14621452208000</v>
      </c>
      <c r="L14" s="0" t="n">
        <v>-2297112884000</v>
      </c>
      <c r="M14" s="0" t="n">
        <v>-233090528000</v>
      </c>
      <c r="O14" s="0" t="n">
        <v>120021690316000</v>
      </c>
      <c r="P14" s="0" t="n">
        <v>23840830860000</v>
      </c>
      <c r="Q14" s="0" t="n">
        <v>88230137248000</v>
      </c>
      <c r="R14" s="0" t="n">
        <v>25177179544000</v>
      </c>
      <c r="S14" s="0" t="n">
        <v>10383864260000</v>
      </c>
      <c r="T14" s="0" t="n">
        <v>7748003648000</v>
      </c>
      <c r="U14" s="0" t="n">
        <v>46663985896000</v>
      </c>
      <c r="V14" s="0" t="n">
        <v>11593549660000</v>
      </c>
      <c r="W14" s="0" t="n">
        <v>35070436236000</v>
      </c>
      <c r="X14" s="0" t="n">
        <v>1790746276000</v>
      </c>
      <c r="Y14" s="0" t="n">
        <v>6267316484000</v>
      </c>
      <c r="AA14" s="0" t="n">
        <v>59561148416000</v>
      </c>
      <c r="AB14" s="0" t="n">
        <v>96509686152000</v>
      </c>
      <c r="AD14" s="0" t="n">
        <v>-4466917796000</v>
      </c>
      <c r="AE14" s="0" t="n">
        <v>3944272816000</v>
      </c>
      <c r="AF14" s="0" t="s">
        <v>573</v>
      </c>
      <c r="AG14" s="0" t="s">
        <v>574</v>
      </c>
    </row>
    <row r="15" customFormat="false" ht="15" hidden="false" customHeight="false" outlineLevel="0" collapsed="false">
      <c r="A15" s="0" t="s">
        <v>47</v>
      </c>
      <c r="B15" s="0" t="s">
        <v>543</v>
      </c>
      <c r="C15" s="0" t="s">
        <v>544</v>
      </c>
      <c r="D15" s="0" t="n">
        <v>6834033052000</v>
      </c>
      <c r="E15" s="0" t="n">
        <v>4858153872000</v>
      </c>
      <c r="F15" s="0" t="n">
        <v>1975879180000</v>
      </c>
      <c r="G15" s="0" t="n">
        <v>1423506920000</v>
      </c>
      <c r="H15" s="0" t="n">
        <v>1974088380000</v>
      </c>
      <c r="I15" s="0" t="n">
        <v>1989256456000</v>
      </c>
      <c r="J15" s="0" t="n">
        <v>1373489876000</v>
      </c>
      <c r="K15" s="0" t="n">
        <v>1896260212000</v>
      </c>
      <c r="L15" s="0" t="n">
        <v>332694824000</v>
      </c>
      <c r="M15" s="0" t="n">
        <v>77828168000</v>
      </c>
      <c r="N15" s="0" t="n">
        <v>30130946000</v>
      </c>
      <c r="O15" s="0" t="n">
        <v>115227181476000</v>
      </c>
      <c r="P15" s="0" t="n">
        <v>21605500576000</v>
      </c>
      <c r="Q15" s="0" t="n">
        <v>85594491532000</v>
      </c>
      <c r="R15" s="0" t="n">
        <v>21206689416000</v>
      </c>
      <c r="S15" s="0" t="n">
        <v>11543478892000</v>
      </c>
      <c r="T15" s="0" t="n">
        <v>8923699664000</v>
      </c>
      <c r="U15" s="0" t="n">
        <v>40281001640000</v>
      </c>
      <c r="V15" s="0" t="n">
        <v>8082775800000</v>
      </c>
      <c r="W15" s="0" t="n">
        <v>32198225840000</v>
      </c>
      <c r="X15" s="0" t="n">
        <v>2039327224000</v>
      </c>
      <c r="Y15" s="0" t="n">
        <v>6227954700000</v>
      </c>
      <c r="Z15" s="0" t="n">
        <v>3228113988000</v>
      </c>
      <c r="AA15" s="0" t="n">
        <v>60934638292000</v>
      </c>
      <c r="AB15" s="0" t="n">
        <v>95162019612000</v>
      </c>
      <c r="AD15" s="0" t="n">
        <v>-2789314264000</v>
      </c>
      <c r="AE15" s="0" t="n">
        <v>-1340771960000</v>
      </c>
      <c r="AF15" s="0" t="s">
        <v>575</v>
      </c>
      <c r="AG15" s="0" t="s">
        <v>576</v>
      </c>
    </row>
    <row r="16" customFormat="false" ht="15" hidden="false" customHeight="false" outlineLevel="0" collapsed="false">
      <c r="A16" s="0" t="s">
        <v>47</v>
      </c>
      <c r="B16" s="0" t="s">
        <v>543</v>
      </c>
      <c r="C16" s="0" t="s">
        <v>547</v>
      </c>
      <c r="D16" s="0" t="n">
        <v>8525479468000</v>
      </c>
      <c r="E16" s="0" t="n">
        <v>5410651488000</v>
      </c>
      <c r="F16" s="0" t="n">
        <v>3114827980000</v>
      </c>
      <c r="G16" s="0" t="n">
        <v>2586541980000</v>
      </c>
      <c r="H16" s="0" t="n">
        <v>2615302228000</v>
      </c>
      <c r="I16" s="0" t="n">
        <v>2639191500000</v>
      </c>
      <c r="J16" s="0" t="n">
        <v>1759389368000</v>
      </c>
      <c r="K16" s="0" t="n">
        <v>2559697888000</v>
      </c>
      <c r="L16" s="0" t="n">
        <v>632313572000</v>
      </c>
      <c r="M16" s="0" t="n">
        <v>55604340000</v>
      </c>
      <c r="O16" s="0" t="n">
        <v>114748303648000</v>
      </c>
      <c r="P16" s="0" t="n">
        <v>25399883432000</v>
      </c>
      <c r="Q16" s="0" t="n">
        <v>81025551860000</v>
      </c>
      <c r="R16" s="0" t="n">
        <v>19011455144000</v>
      </c>
      <c r="S16" s="0" t="n">
        <v>12590613376000</v>
      </c>
      <c r="T16" s="0" t="n">
        <v>10480531644000</v>
      </c>
      <c r="U16" s="0" t="n">
        <v>39029572692000</v>
      </c>
      <c r="V16" s="0" t="n">
        <v>10288110184000</v>
      </c>
      <c r="W16" s="0" t="n">
        <v>28741462508000</v>
      </c>
      <c r="X16" s="0" t="n">
        <v>1914562188000</v>
      </c>
      <c r="Y16" s="0" t="n">
        <v>6193839960000</v>
      </c>
      <c r="Z16" s="0" t="n">
        <v>3803515936000</v>
      </c>
      <c r="AA16" s="0" t="n">
        <v>57321627660000</v>
      </c>
      <c r="AB16" s="0" t="n">
        <v>91728751576000</v>
      </c>
      <c r="AD16" s="0" t="n">
        <v>-3682547396000</v>
      </c>
      <c r="AE16" s="0" t="n">
        <v>835175396000</v>
      </c>
      <c r="AF16" s="0" t="s">
        <v>577</v>
      </c>
      <c r="AG16" s="0" t="s">
        <v>578</v>
      </c>
    </row>
    <row r="17" customFormat="false" ht="15" hidden="false" customHeight="false" outlineLevel="0" collapsed="false">
      <c r="A17" s="0" t="s">
        <v>47</v>
      </c>
      <c r="B17" s="0" t="s">
        <v>543</v>
      </c>
      <c r="C17" s="0" t="s">
        <v>550</v>
      </c>
      <c r="Z17" s="0" t="n">
        <v>3763330384000</v>
      </c>
      <c r="AF17" s="0" t="s">
        <v>579</v>
      </c>
      <c r="AG17" s="0" t="s">
        <v>580</v>
      </c>
    </row>
    <row r="18" customFormat="false" ht="15" hidden="false" customHeight="false" outlineLevel="0" collapsed="false">
      <c r="A18" s="0" t="s">
        <v>47</v>
      </c>
      <c r="B18" s="0" t="s">
        <v>543</v>
      </c>
      <c r="C18" s="0" t="s">
        <v>553</v>
      </c>
      <c r="D18" s="0" t="n">
        <v>9407967800000</v>
      </c>
      <c r="E18" s="0" t="n">
        <v>6307824380000</v>
      </c>
      <c r="F18" s="0" t="n">
        <v>3100143420000</v>
      </c>
      <c r="G18" s="0" t="n">
        <v>2746120168000</v>
      </c>
      <c r="H18" s="0" t="n">
        <v>3452734032000</v>
      </c>
      <c r="I18" s="0" t="n">
        <v>3470624124000</v>
      </c>
      <c r="J18" s="0" t="n">
        <v>2616430432000</v>
      </c>
      <c r="K18" s="0" t="n">
        <v>3425442240000</v>
      </c>
      <c r="L18" s="0" t="n">
        <v>607976600000</v>
      </c>
      <c r="M18" s="0" t="n">
        <v>27291792000</v>
      </c>
      <c r="O18" s="0" t="n">
        <v>122078710644000</v>
      </c>
      <c r="P18" s="0" t="n">
        <v>32467920320000</v>
      </c>
      <c r="Q18" s="0" t="n">
        <v>80324955084000</v>
      </c>
      <c r="R18" s="0" t="n">
        <v>18698154684000</v>
      </c>
      <c r="S18" s="0" t="n">
        <v>14707195712000</v>
      </c>
      <c r="T18" s="0" t="n">
        <v>12613804236000</v>
      </c>
      <c r="U18" s="0" t="n">
        <v>39526376428000</v>
      </c>
      <c r="V18" s="0" t="n">
        <v>15416710672000</v>
      </c>
      <c r="W18" s="0" t="n">
        <v>24109665756000</v>
      </c>
      <c r="X18" s="0" t="n">
        <v>2076934024000</v>
      </c>
      <c r="Y18" s="0" t="n">
        <v>7036697888000</v>
      </c>
      <c r="Z18" s="0" t="n">
        <v>3069538648000</v>
      </c>
      <c r="AA18" s="0" t="n">
        <v>57704285804000</v>
      </c>
      <c r="AB18" s="0" t="n">
        <v>93667185128000</v>
      </c>
      <c r="AD18" s="0" t="n">
        <v>-4184257924000</v>
      </c>
      <c r="AE18" s="0" t="n">
        <v>-567522428000</v>
      </c>
      <c r="AF18" s="0" t="s">
        <v>581</v>
      </c>
      <c r="AG18" s="0" t="s">
        <v>582</v>
      </c>
    </row>
    <row r="19" customFormat="false" ht="15" hidden="false" customHeight="false" outlineLevel="0" collapsed="false">
      <c r="A19" s="0" t="s">
        <v>47</v>
      </c>
      <c r="B19" s="0" t="s">
        <v>543</v>
      </c>
      <c r="C19" s="0" t="s">
        <v>450</v>
      </c>
      <c r="D19" s="0" t="n">
        <v>8432966740000</v>
      </c>
      <c r="E19" s="0" t="n">
        <v>5235385892000</v>
      </c>
      <c r="F19" s="0" t="n">
        <v>3197580848000</v>
      </c>
      <c r="G19" s="0" t="n">
        <v>2620298560000</v>
      </c>
      <c r="H19" s="0" t="n">
        <v>3252683764000</v>
      </c>
      <c r="I19" s="0" t="n">
        <v>3270358960000</v>
      </c>
      <c r="J19" s="0" t="n">
        <v>2294677396000</v>
      </c>
      <c r="K19" s="0" t="n">
        <v>3229027296000</v>
      </c>
      <c r="L19" s="0" t="n">
        <v>656149120000</v>
      </c>
      <c r="M19" s="0" t="n">
        <v>23656468000</v>
      </c>
      <c r="N19" s="0" t="n">
        <v>28800494000</v>
      </c>
      <c r="O19" s="0" t="n">
        <v>128675820856000</v>
      </c>
      <c r="P19" s="0" t="n">
        <v>31550690468000</v>
      </c>
      <c r="Q19" s="0" t="n">
        <v>87676153268000</v>
      </c>
      <c r="R19" s="0" t="n">
        <v>20747295492000</v>
      </c>
      <c r="S19" s="0" t="n">
        <v>18974690020000</v>
      </c>
      <c r="T19" s="0" t="n">
        <v>16800819992000</v>
      </c>
      <c r="U19" s="0" t="n">
        <v>45607145276000</v>
      </c>
      <c r="V19" s="0" t="n">
        <v>10555422900000</v>
      </c>
      <c r="W19" s="0" t="n">
        <v>35051722376000</v>
      </c>
      <c r="X19" s="0" t="n">
        <v>2342384308000</v>
      </c>
      <c r="Y19" s="0" t="n">
        <v>5532300532000</v>
      </c>
      <c r="Z19" s="0" t="n">
        <v>2749451056000</v>
      </c>
      <c r="AA19" s="0" t="n">
        <v>59998963200000</v>
      </c>
      <c r="AB19" s="0" t="n">
        <v>105379357380000</v>
      </c>
      <c r="AD19" s="0" t="n">
        <v>-2849001628000</v>
      </c>
      <c r="AE19" s="0" t="n">
        <v>645350596000</v>
      </c>
      <c r="AF19" s="0" t="s">
        <v>583</v>
      </c>
      <c r="AG19" s="0" t="s">
        <v>584</v>
      </c>
    </row>
    <row r="20" customFormat="false" ht="15" hidden="false" customHeight="false" outlineLevel="0" collapsed="false">
      <c r="A20" s="0" t="s">
        <v>49</v>
      </c>
      <c r="B20" s="0" t="s">
        <v>543</v>
      </c>
      <c r="C20" s="0" t="s">
        <v>544</v>
      </c>
      <c r="D20" s="0" t="n">
        <v>83361000000000</v>
      </c>
      <c r="E20" s="0" t="n">
        <v>66301000000000</v>
      </c>
      <c r="F20" s="0" t="n">
        <v>17060000000000</v>
      </c>
      <c r="G20" s="0" t="n">
        <v>9218000000000</v>
      </c>
      <c r="H20" s="0" t="n">
        <v>11567000000000</v>
      </c>
      <c r="I20" s="0" t="n">
        <v>11567000000000</v>
      </c>
      <c r="J20" s="0" t="n">
        <v>6932000000000</v>
      </c>
      <c r="K20" s="0" t="n">
        <v>10646000000000</v>
      </c>
      <c r="L20" s="0" t="n">
        <v>2091000000000</v>
      </c>
      <c r="M20" s="0" t="n">
        <v>921000000000</v>
      </c>
      <c r="N20" s="0" t="n">
        <v>40484000000</v>
      </c>
      <c r="O20" s="0" t="n">
        <v>494725000000000</v>
      </c>
      <c r="P20" s="0" t="n">
        <v>212949000000000</v>
      </c>
      <c r="Q20" s="0" t="n">
        <v>221352000000000</v>
      </c>
      <c r="R20" s="0" t="n">
        <v>56964000000000</v>
      </c>
      <c r="S20" s="0" t="n">
        <v>103882000000000</v>
      </c>
      <c r="T20" s="0" t="n">
        <v>49817000000000</v>
      </c>
      <c r="U20" s="0" t="n">
        <v>195064000000000</v>
      </c>
      <c r="V20" s="0" t="n">
        <v>144309000000000</v>
      </c>
      <c r="W20" s="0" t="n">
        <v>50755000000000</v>
      </c>
      <c r="X20" s="0" t="n">
        <v>39927000000000</v>
      </c>
      <c r="Y20" s="0" t="n">
        <v>28609000000000</v>
      </c>
      <c r="Z20" s="0" t="n">
        <v>45803000000000</v>
      </c>
      <c r="AA20" s="0" t="n">
        <v>209109000000000</v>
      </c>
      <c r="AB20" s="0" t="n">
        <v>323519000000000</v>
      </c>
      <c r="AD20" s="0" t="n">
        <v>-4229000000000</v>
      </c>
      <c r="AE20" s="0" t="n">
        <v>9152000000000</v>
      </c>
      <c r="AF20" s="0" t="s">
        <v>585</v>
      </c>
      <c r="AG20" s="0" t="s">
        <v>586</v>
      </c>
    </row>
    <row r="21" customFormat="false" ht="15" hidden="false" customHeight="false" outlineLevel="0" collapsed="false">
      <c r="A21" s="0" t="s">
        <v>49</v>
      </c>
      <c r="B21" s="0" t="s">
        <v>543</v>
      </c>
      <c r="C21" s="0" t="s">
        <v>547</v>
      </c>
      <c r="D21" s="0" t="n">
        <v>79496000000000</v>
      </c>
      <c r="E21" s="0" t="n">
        <v>61723000000000</v>
      </c>
      <c r="F21" s="0" t="n">
        <v>17773000000000</v>
      </c>
      <c r="G21" s="0" t="n">
        <v>9949000000000</v>
      </c>
      <c r="H21" s="0" t="n">
        <v>14318000000000</v>
      </c>
      <c r="I21" s="0" t="n">
        <v>14318000000000</v>
      </c>
      <c r="J21" s="0" t="n">
        <v>8583000000000</v>
      </c>
      <c r="K21" s="0" t="n">
        <v>13361000000000</v>
      </c>
      <c r="L21" s="0" t="n">
        <v>2435000000000</v>
      </c>
      <c r="M21" s="0" t="n">
        <v>957000000000</v>
      </c>
      <c r="O21" s="0" t="n">
        <v>487794000000000</v>
      </c>
      <c r="P21" s="0" t="n">
        <v>209040000000000</v>
      </c>
      <c r="Q21" s="0" t="n">
        <v>218004000000000</v>
      </c>
      <c r="R21" s="0" t="n">
        <v>53108000000000</v>
      </c>
      <c r="S21" s="0" t="n">
        <v>104353000000000</v>
      </c>
      <c r="T21" s="0" t="n">
        <v>44535000000000</v>
      </c>
      <c r="U21" s="0" t="n">
        <v>189294000000000</v>
      </c>
      <c r="V21" s="0" t="n">
        <v>145137000000000</v>
      </c>
      <c r="W21" s="0" t="n">
        <v>44157000000000</v>
      </c>
      <c r="X21" s="0" t="n">
        <v>38679000000000</v>
      </c>
      <c r="Y21" s="0" t="n">
        <v>28632000000000</v>
      </c>
      <c r="Z21" s="0" t="n">
        <v>39690000000000</v>
      </c>
      <c r="AA21" s="0" t="n">
        <v>205222000000000</v>
      </c>
      <c r="AB21" s="0" t="n">
        <v>320736000000000</v>
      </c>
      <c r="AD21" s="0" t="n">
        <v>-4111000000000</v>
      </c>
      <c r="AE21" s="0" t="n">
        <v>5650000000000</v>
      </c>
      <c r="AF21" s="0" t="s">
        <v>587</v>
      </c>
      <c r="AG21" s="0" t="s">
        <v>588</v>
      </c>
    </row>
    <row r="22" customFormat="false" ht="15" hidden="false" customHeight="false" outlineLevel="0" collapsed="false">
      <c r="A22" s="0" t="s">
        <v>49</v>
      </c>
      <c r="B22" s="0" t="s">
        <v>543</v>
      </c>
      <c r="C22" s="0" t="s">
        <v>553</v>
      </c>
      <c r="D22" s="0" t="n">
        <v>79784000000000</v>
      </c>
      <c r="E22" s="0" t="n">
        <v>60587000000000</v>
      </c>
      <c r="F22" s="0" t="n">
        <v>19197000000000</v>
      </c>
      <c r="G22" s="0" t="n">
        <v>10275000000000</v>
      </c>
      <c r="H22" s="0" t="n">
        <v>13382000000000</v>
      </c>
      <c r="I22" s="0" t="n">
        <v>13382000000000</v>
      </c>
      <c r="J22" s="0" t="n">
        <v>8296000000000</v>
      </c>
      <c r="K22" s="0" t="n">
        <v>12466000000000</v>
      </c>
      <c r="L22" s="0" t="n">
        <v>2373000000000</v>
      </c>
      <c r="M22" s="0" t="n">
        <v>916000000000</v>
      </c>
      <c r="O22" s="0" t="n">
        <v>507366000000000</v>
      </c>
      <c r="P22" s="0" t="n">
        <v>216554000000000</v>
      </c>
      <c r="Q22" s="0" t="n">
        <v>228906000000000</v>
      </c>
      <c r="R22" s="0" t="n">
        <v>52621000000000</v>
      </c>
      <c r="S22" s="0" t="n">
        <v>110301000000000</v>
      </c>
      <c r="T22" s="0" t="n">
        <v>39841000000000</v>
      </c>
      <c r="U22" s="0" t="n">
        <v>188555000000000</v>
      </c>
      <c r="V22" s="0" t="n">
        <v>152078000000000</v>
      </c>
      <c r="W22" s="0" t="n">
        <v>36477000000000</v>
      </c>
      <c r="X22" s="0" t="n">
        <v>36215000000000</v>
      </c>
      <c r="Y22" s="0" t="n">
        <v>27822000000000</v>
      </c>
      <c r="Z22" s="0" t="n">
        <v>39238000000000</v>
      </c>
      <c r="AA22" s="0" t="n">
        <v>218512000000000</v>
      </c>
      <c r="AB22" s="0" t="n">
        <v>337231000000000</v>
      </c>
      <c r="AD22" s="0" t="n">
        <v>-5318000000000</v>
      </c>
      <c r="AE22" s="0" t="n">
        <v>4305000000000</v>
      </c>
      <c r="AF22" s="0" t="s">
        <v>589</v>
      </c>
      <c r="AG22" s="0" t="s">
        <v>590</v>
      </c>
    </row>
    <row r="23" customFormat="false" ht="15" hidden="false" customHeight="false" outlineLevel="0" collapsed="false">
      <c r="A23" s="0" t="s">
        <v>49</v>
      </c>
      <c r="B23" s="0" t="s">
        <v>543</v>
      </c>
      <c r="C23" s="0" t="s">
        <v>450</v>
      </c>
      <c r="D23" s="0" t="n">
        <v>78668000000000</v>
      </c>
      <c r="E23" s="0" t="n">
        <v>63174000000000</v>
      </c>
      <c r="F23" s="0" t="n">
        <v>15494000000000</v>
      </c>
      <c r="G23" s="0" t="n">
        <v>6310000000000</v>
      </c>
      <c r="H23" s="0" t="n">
        <v>8992000000000</v>
      </c>
      <c r="I23" s="0" t="n">
        <v>8992000000000</v>
      </c>
      <c r="J23" s="0" t="n">
        <v>5850000000000</v>
      </c>
      <c r="K23" s="0" t="n">
        <v>8069000000000</v>
      </c>
      <c r="L23" s="0" t="n">
        <v>1646000000000</v>
      </c>
      <c r="M23" s="0" t="n">
        <v>923000000000</v>
      </c>
      <c r="N23" s="0" t="n">
        <v>40070000000</v>
      </c>
      <c r="O23" s="0" t="n">
        <v>517804000000000</v>
      </c>
      <c r="P23" s="0" t="n">
        <v>224681000000000</v>
      </c>
      <c r="Q23" s="0" t="n">
        <v>232765000000000</v>
      </c>
      <c r="R23" s="0" t="n">
        <v>49046000000000</v>
      </c>
      <c r="S23" s="0" t="n">
        <v>116835000000000</v>
      </c>
      <c r="T23" s="0" t="n">
        <v>40598000000000</v>
      </c>
      <c r="U23" s="0" t="n">
        <v>188493000000000</v>
      </c>
      <c r="V23" s="0" t="n">
        <v>155225000000000</v>
      </c>
      <c r="W23" s="0" t="n">
        <v>33268000000000</v>
      </c>
      <c r="X23" s="0" t="n">
        <v>32845000000000</v>
      </c>
      <c r="Y23" s="0" t="n">
        <v>27023000000000</v>
      </c>
      <c r="Z23" s="0" t="n">
        <v>35140000000000</v>
      </c>
      <c r="AA23" s="0" t="n">
        <v>224308000000000</v>
      </c>
      <c r="AB23" s="0" t="n">
        <v>347714000000000</v>
      </c>
      <c r="AD23" s="0" t="n">
        <v>-2564000000000</v>
      </c>
      <c r="AE23" s="0" t="n">
        <v>3710000000000</v>
      </c>
      <c r="AF23" s="0" t="s">
        <v>591</v>
      </c>
      <c r="AG23" s="0" t="s">
        <v>592</v>
      </c>
    </row>
    <row r="24" customFormat="false" ht="15" hidden="false" customHeight="false" outlineLevel="0" collapsed="false">
      <c r="A24" s="0" t="s">
        <v>49</v>
      </c>
      <c r="B24" s="0" t="s">
        <v>543</v>
      </c>
      <c r="C24" s="0" t="s">
        <v>448</v>
      </c>
      <c r="D24" s="0" t="n">
        <v>79245000000000</v>
      </c>
      <c r="E24" s="0" t="n">
        <v>62287000000000</v>
      </c>
      <c r="F24" s="0" t="n">
        <v>16958000000000</v>
      </c>
      <c r="G24" s="0" t="n">
        <v>8107000000000</v>
      </c>
      <c r="H24" s="0" t="n">
        <v>9597000000000</v>
      </c>
      <c r="I24" s="0" t="n">
        <v>9597000000000</v>
      </c>
      <c r="J24" s="0" t="n">
        <v>6683000000000</v>
      </c>
      <c r="K24" s="0" t="n">
        <v>8664000000000</v>
      </c>
      <c r="L24" s="0" t="n">
        <v>1743000000000</v>
      </c>
      <c r="M24" s="0" t="n">
        <v>933000000000</v>
      </c>
      <c r="O24" s="0" t="n">
        <v>514517000000000</v>
      </c>
      <c r="P24" s="0" t="n">
        <v>224673000000000</v>
      </c>
      <c r="Q24" s="0" t="n">
        <v>230068000000000</v>
      </c>
      <c r="R24" s="0" t="n">
        <v>46150000000000</v>
      </c>
      <c r="S24" s="0" t="n">
        <v>119198000000000</v>
      </c>
      <c r="T24" s="0" t="n">
        <v>43622000000000</v>
      </c>
      <c r="U24" s="0" t="n">
        <v>185300000000000</v>
      </c>
      <c r="V24" s="0" t="n">
        <v>156151000000000</v>
      </c>
      <c r="W24" s="0" t="n">
        <v>29149000000000</v>
      </c>
      <c r="X24" s="0" t="n">
        <v>36266000000000</v>
      </c>
      <c r="Y24" s="0" t="n">
        <v>28469000000000</v>
      </c>
      <c r="Z24" s="0" t="n">
        <v>36145000000000</v>
      </c>
      <c r="AA24" s="0" t="n">
        <v>219331000000000</v>
      </c>
      <c r="AB24" s="0" t="n">
        <v>347329000000000</v>
      </c>
      <c r="AD24" s="0" t="n">
        <v>-2245000000000</v>
      </c>
      <c r="AE24" s="0" t="n">
        <v>7735000000000</v>
      </c>
      <c r="AF24" s="0" t="s">
        <v>593</v>
      </c>
      <c r="AG24" s="0" t="s">
        <v>594</v>
      </c>
    </row>
    <row r="25" customFormat="false" ht="15" hidden="false" customHeight="false" outlineLevel="0" collapsed="false">
      <c r="A25" s="0" t="s">
        <v>80</v>
      </c>
      <c r="B25" s="0" t="s">
        <v>543</v>
      </c>
      <c r="C25" s="0" t="s">
        <v>544</v>
      </c>
      <c r="D25" s="0" t="n">
        <v>27679953000000</v>
      </c>
      <c r="J25" s="0" t="n">
        <v>14146131000000</v>
      </c>
      <c r="K25" s="0" t="n">
        <v>17455662000000</v>
      </c>
      <c r="L25" s="0" t="n">
        <v>3308672000000</v>
      </c>
      <c r="M25" s="0" t="n">
        <v>2549372000000</v>
      </c>
      <c r="N25" s="0" t="n">
        <v>123275050000</v>
      </c>
      <c r="O25" s="0" t="n">
        <v>1533763445000000</v>
      </c>
      <c r="P25" s="0" t="n">
        <v>1287242936000000</v>
      </c>
      <c r="Q25" s="0" t="n">
        <v>246325028000000</v>
      </c>
      <c r="R25" s="0" t="n">
        <v>117911518000000</v>
      </c>
      <c r="S25" s="0" t="n">
        <v>3603580000000</v>
      </c>
      <c r="Z25" s="0" t="n">
        <v>9477940000000</v>
      </c>
      <c r="AA25" s="0" t="n">
        <v>222739122000000</v>
      </c>
      <c r="AB25" s="0" t="n">
        <v>249635881000000</v>
      </c>
      <c r="AC25" s="0" t="n">
        <v>35183351000000</v>
      </c>
      <c r="AD25" s="0" t="n">
        <v>-433471000000</v>
      </c>
      <c r="AE25" s="0" t="n">
        <v>34749880000000</v>
      </c>
      <c r="AF25" s="0" t="s">
        <v>595</v>
      </c>
      <c r="AG25" s="0" t="s">
        <v>596</v>
      </c>
    </row>
    <row r="26" customFormat="false" ht="15" hidden="false" customHeight="false" outlineLevel="0" collapsed="false">
      <c r="A26" s="0" t="s">
        <v>80</v>
      </c>
      <c r="B26" s="0" t="s">
        <v>543</v>
      </c>
      <c r="C26" s="0" t="s">
        <v>547</v>
      </c>
      <c r="D26" s="0" t="n">
        <v>29193195000000</v>
      </c>
      <c r="J26" s="0" t="n">
        <v>14870283000000</v>
      </c>
      <c r="K26" s="0" t="n">
        <v>18337997000000</v>
      </c>
      <c r="L26" s="0" t="n">
        <v>3462018000000</v>
      </c>
      <c r="M26" s="0" t="n">
        <v>2757052000000</v>
      </c>
      <c r="O26" s="0" t="n">
        <v>1504118975000000</v>
      </c>
      <c r="P26" s="0" t="n">
        <v>1242318069000000</v>
      </c>
      <c r="Q26" s="0" t="n">
        <v>261595538000000</v>
      </c>
      <c r="R26" s="0" t="n">
        <v>107459299000000</v>
      </c>
      <c r="S26" s="0" t="n">
        <v>1787047000000</v>
      </c>
      <c r="Z26" s="0" t="n">
        <v>3060690000000</v>
      </c>
      <c r="AA26" s="0" t="n">
        <v>237614291000000</v>
      </c>
      <c r="AB26" s="0" t="n">
        <v>263109468000000</v>
      </c>
      <c r="AC26" s="0" t="n">
        <v>5739867000000</v>
      </c>
      <c r="AD26" s="0" t="n">
        <v>-174713000000</v>
      </c>
      <c r="AE26" s="0" t="n">
        <v>5565154000000</v>
      </c>
      <c r="AF26" s="0" t="s">
        <v>597</v>
      </c>
      <c r="AG26" s="0" t="s">
        <v>598</v>
      </c>
    </row>
    <row r="27" customFormat="false" ht="15" hidden="false" customHeight="false" outlineLevel="0" collapsed="false">
      <c r="A27" s="0" t="s">
        <v>80</v>
      </c>
      <c r="B27" s="0" t="s">
        <v>543</v>
      </c>
      <c r="C27" s="0" t="s">
        <v>553</v>
      </c>
      <c r="D27" s="0" t="n">
        <v>26715069000000</v>
      </c>
      <c r="J27" s="0" t="n">
        <v>14139872000000</v>
      </c>
      <c r="K27" s="0" t="n">
        <v>17493932000000</v>
      </c>
      <c r="L27" s="0" t="n">
        <v>3344302000000</v>
      </c>
      <c r="M27" s="0" t="n">
        <v>2582913000000</v>
      </c>
      <c r="O27" s="0" t="n">
        <v>1586828536000000</v>
      </c>
      <c r="P27" s="0" t="n">
        <v>1305140981000000</v>
      </c>
      <c r="Q27" s="0" t="n">
        <v>281466478000000</v>
      </c>
      <c r="R27" s="0" t="n">
        <v>90907332000000</v>
      </c>
      <c r="S27" s="0" t="n">
        <v>2395446000000</v>
      </c>
      <c r="Z27" s="0" t="n">
        <v>3526817000000</v>
      </c>
      <c r="AA27" s="0" t="n">
        <v>258920057000000</v>
      </c>
      <c r="AB27" s="0" t="n">
        <v>283578337000000</v>
      </c>
      <c r="AC27" s="0" t="n">
        <v>11576805000000</v>
      </c>
      <c r="AD27" s="0" t="n">
        <v>-1347623000000</v>
      </c>
      <c r="AE27" s="0" t="n">
        <v>10229182000000</v>
      </c>
      <c r="AF27" s="0" t="s">
        <v>599</v>
      </c>
      <c r="AG27" s="0" t="s">
        <v>600</v>
      </c>
    </row>
    <row r="28" customFormat="false" ht="15" hidden="false" customHeight="false" outlineLevel="0" collapsed="false">
      <c r="A28" s="0" t="s">
        <v>80</v>
      </c>
      <c r="B28" s="0" t="s">
        <v>543</v>
      </c>
      <c r="C28" s="0" t="s">
        <v>450</v>
      </c>
      <c r="D28" s="0" t="n">
        <v>28660037000000</v>
      </c>
      <c r="J28" s="0" t="n">
        <v>14684123000000</v>
      </c>
      <c r="K28" s="0" t="n">
        <v>18077072000000</v>
      </c>
      <c r="L28" s="0" t="n">
        <v>3387273000000</v>
      </c>
      <c r="M28" s="0" t="n">
        <v>2706797000000</v>
      </c>
      <c r="N28" s="0" t="n">
        <v>122892706679</v>
      </c>
      <c r="O28" s="0" t="n">
        <v>1640830566000000</v>
      </c>
      <c r="P28" s="0" t="n">
        <v>1381471773000000</v>
      </c>
      <c r="Q28" s="0" t="n">
        <v>259132407000000</v>
      </c>
      <c r="R28" s="0" t="n">
        <v>119676890000000</v>
      </c>
      <c r="S28" s="0" t="n">
        <v>2310155000000</v>
      </c>
      <c r="Z28" s="0" t="n">
        <v>2977131000000</v>
      </c>
      <c r="AA28" s="0" t="n">
        <v>239075956000000</v>
      </c>
      <c r="AB28" s="0" t="n">
        <v>261072924000000</v>
      </c>
      <c r="AC28" s="0" t="n">
        <v>47920728000000</v>
      </c>
      <c r="AD28" s="0" t="n">
        <v>-435213000000</v>
      </c>
      <c r="AE28" s="0" t="n">
        <v>47485515000000</v>
      </c>
      <c r="AF28" s="0" t="s">
        <v>601</v>
      </c>
      <c r="AG28" s="0" t="s">
        <v>602</v>
      </c>
    </row>
    <row r="29" customFormat="false" ht="15" hidden="false" customHeight="false" outlineLevel="0" collapsed="false">
      <c r="A29" s="0" t="s">
        <v>80</v>
      </c>
      <c r="B29" s="0" t="s">
        <v>543</v>
      </c>
      <c r="C29" s="0" t="s">
        <v>448</v>
      </c>
      <c r="D29" s="0" t="n">
        <v>28891999000000</v>
      </c>
      <c r="J29" s="0" t="n">
        <v>14850323000000</v>
      </c>
      <c r="K29" s="0" t="n">
        <v>18374757000000</v>
      </c>
      <c r="L29" s="0" t="n">
        <v>3518935000000</v>
      </c>
      <c r="M29" s="0" t="n">
        <v>3014402000000</v>
      </c>
      <c r="O29" s="0" t="n">
        <v>1660579336000000</v>
      </c>
      <c r="P29" s="0" t="n">
        <v>1389911590000000</v>
      </c>
      <c r="Q29" s="0" t="n">
        <v>270437543000000</v>
      </c>
      <c r="R29" s="0" t="n">
        <v>95713174000000</v>
      </c>
      <c r="S29" s="0" t="n">
        <v>2187729000000</v>
      </c>
      <c r="Z29" s="0" t="n">
        <v>3377724000000</v>
      </c>
      <c r="AA29" s="0" t="n">
        <v>251487039000000</v>
      </c>
      <c r="AB29" s="0" t="n">
        <v>272271540000000</v>
      </c>
      <c r="AC29" s="0" t="n">
        <v>-15658754000000</v>
      </c>
      <c r="AD29" s="0" t="n">
        <v>-794950000000</v>
      </c>
      <c r="AE29" s="0" t="n">
        <v>-16453704000000</v>
      </c>
      <c r="AF29" s="0" t="s">
        <v>603</v>
      </c>
      <c r="AG29" s="0" t="s">
        <v>604</v>
      </c>
    </row>
    <row r="30" customFormat="false" ht="15" hidden="false" customHeight="false" outlineLevel="0" collapsed="false">
      <c r="A30" s="0" t="s">
        <v>81</v>
      </c>
      <c r="B30" s="0" t="s">
        <v>543</v>
      </c>
      <c r="C30" s="0" t="s">
        <v>560</v>
      </c>
      <c r="D30" s="0" t="n">
        <v>43079500000000</v>
      </c>
      <c r="J30" s="0" t="n">
        <v>15090134000000</v>
      </c>
      <c r="K30" s="0" t="n">
        <v>19610762000000</v>
      </c>
      <c r="L30" s="0" t="n">
        <v>4329329000000</v>
      </c>
      <c r="M30" s="0" t="n">
        <v>13726718000000</v>
      </c>
      <c r="O30" s="0" t="n">
        <v>1992186906000000</v>
      </c>
      <c r="P30" s="0" t="n">
        <v>1668871890000000</v>
      </c>
      <c r="Q30" s="0" t="n">
        <v>317028351000000</v>
      </c>
      <c r="R30" s="0" t="n">
        <v>198281371000000</v>
      </c>
      <c r="S30" s="0" t="n">
        <v>161521414000000</v>
      </c>
      <c r="Z30" s="0" t="n">
        <v>2109427000000</v>
      </c>
      <c r="AA30" s="0" t="n">
        <v>215009704000000</v>
      </c>
      <c r="AB30" s="0" t="n">
        <v>478302022000000</v>
      </c>
      <c r="AC30" s="0" t="n">
        <v>33937453000000</v>
      </c>
      <c r="AD30" s="0" t="n">
        <v>-4734462000000</v>
      </c>
      <c r="AE30" s="0" t="n">
        <v>29202991000000</v>
      </c>
      <c r="AF30" s="0" t="s">
        <v>605</v>
      </c>
      <c r="AG30" s="0" t="s">
        <v>606</v>
      </c>
    </row>
    <row r="31" customFormat="false" ht="15" hidden="false" customHeight="false" outlineLevel="0" collapsed="false">
      <c r="A31" s="0" t="s">
        <v>81</v>
      </c>
      <c r="B31" s="0" t="s">
        <v>543</v>
      </c>
      <c r="C31" s="0" t="s">
        <v>544</v>
      </c>
      <c r="D31" s="0" t="n">
        <v>44772217000000</v>
      </c>
      <c r="J31" s="0" t="n">
        <v>13621549000000</v>
      </c>
      <c r="K31" s="0" t="n">
        <v>17380827000000</v>
      </c>
      <c r="L31" s="0" t="n">
        <v>3638718000000</v>
      </c>
      <c r="M31" s="0" t="n">
        <v>13684071000000</v>
      </c>
      <c r="N31" s="0" t="n">
        <v>150654834161</v>
      </c>
      <c r="O31" s="0" t="n">
        <v>2098229448000000</v>
      </c>
      <c r="P31" s="0" t="n">
        <v>1792375276000000</v>
      </c>
      <c r="Q31" s="0" t="n">
        <v>299611337000000</v>
      </c>
      <c r="R31" s="0" t="n">
        <v>252388717000000</v>
      </c>
      <c r="S31" s="0" t="n">
        <v>168564027000000</v>
      </c>
      <c r="Z31" s="0" t="n">
        <v>2659459000000</v>
      </c>
      <c r="AA31" s="0" t="n">
        <v>197346510000000</v>
      </c>
      <c r="AB31" s="0" t="n">
        <v>467770511000000</v>
      </c>
      <c r="AC31" s="0" t="n">
        <v>73593536000000</v>
      </c>
      <c r="AD31" s="0" t="n">
        <v>-2499461000000</v>
      </c>
      <c r="AE31" s="0" t="n">
        <v>71094075000000</v>
      </c>
      <c r="AF31" s="0" t="s">
        <v>607</v>
      </c>
      <c r="AG31" s="0" t="s">
        <v>608</v>
      </c>
    </row>
    <row r="32" customFormat="false" ht="15" hidden="false" customHeight="false" outlineLevel="0" collapsed="false">
      <c r="A32" s="0" t="s">
        <v>81</v>
      </c>
      <c r="B32" s="0" t="s">
        <v>543</v>
      </c>
      <c r="C32" s="0" t="s">
        <v>547</v>
      </c>
      <c r="D32" s="0" t="n">
        <v>44774521000000</v>
      </c>
      <c r="J32" s="0" t="n">
        <v>12603456000000</v>
      </c>
      <c r="K32" s="0" t="n">
        <v>17361959000000</v>
      </c>
      <c r="L32" s="0" t="n">
        <v>4632841000000</v>
      </c>
      <c r="M32" s="0" t="n">
        <v>14782959000000</v>
      </c>
      <c r="O32" s="0" t="n">
        <v>2106370947000000</v>
      </c>
      <c r="P32" s="0" t="n">
        <v>1784298684000000</v>
      </c>
      <c r="Q32" s="0" t="n">
        <v>315501335000000</v>
      </c>
      <c r="R32" s="0" t="n">
        <v>206997188000000</v>
      </c>
      <c r="S32" s="0" t="n">
        <v>174751688000000</v>
      </c>
      <c r="Z32" s="0" t="n">
        <v>2469782000000</v>
      </c>
      <c r="AA32" s="0" t="n">
        <v>210364040000000</v>
      </c>
      <c r="AB32" s="0" t="n">
        <v>489875723000000</v>
      </c>
      <c r="AC32" s="0" t="n">
        <v>2757761000000</v>
      </c>
      <c r="AD32" s="0" t="n">
        <v>-2086018000000</v>
      </c>
      <c r="AE32" s="0" t="n">
        <v>671743000000</v>
      </c>
      <c r="AF32" s="0" t="s">
        <v>609</v>
      </c>
      <c r="AG32" s="0" t="s">
        <v>610</v>
      </c>
    </row>
    <row r="33" customFormat="false" ht="15" hidden="false" customHeight="false" outlineLevel="0" collapsed="false">
      <c r="A33" s="0" t="s">
        <v>81</v>
      </c>
      <c r="B33" s="0" t="s">
        <v>543</v>
      </c>
      <c r="C33" s="0" t="s">
        <v>553</v>
      </c>
      <c r="D33" s="0" t="n">
        <v>50553249000000</v>
      </c>
      <c r="J33" s="0" t="n">
        <v>15873574000000</v>
      </c>
      <c r="K33" s="0" t="n">
        <v>19929258000000</v>
      </c>
      <c r="L33" s="0" t="n">
        <v>4029129000000</v>
      </c>
      <c r="M33" s="0" t="n">
        <v>12814719000000</v>
      </c>
      <c r="O33" s="0" t="n">
        <v>2135371105000000</v>
      </c>
      <c r="P33" s="0" t="n">
        <v>1804429671000000</v>
      </c>
      <c r="Q33" s="0" t="n">
        <v>324033858000000</v>
      </c>
      <c r="R33" s="0" t="n">
        <v>126392161000000</v>
      </c>
      <c r="S33" s="0" t="n">
        <v>171647601000000</v>
      </c>
      <c r="Z33" s="0" t="n">
        <v>1963404000000</v>
      </c>
      <c r="AA33" s="0" t="n">
        <v>219640693000000</v>
      </c>
      <c r="AB33" s="0" t="n">
        <v>495338674000000</v>
      </c>
      <c r="AC33" s="0" t="n">
        <v>-86072401000000</v>
      </c>
      <c r="AD33" s="0" t="n">
        <v>-737026000000</v>
      </c>
      <c r="AE33" s="0" t="n">
        <v>-86809427000000</v>
      </c>
      <c r="AF33" s="0" t="s">
        <v>611</v>
      </c>
      <c r="AG33" s="0" t="s">
        <v>612</v>
      </c>
    </row>
    <row r="34" customFormat="false" ht="15" hidden="false" customHeight="false" outlineLevel="0" collapsed="false">
      <c r="A34" s="0" t="s">
        <v>81</v>
      </c>
      <c r="B34" s="0" t="s">
        <v>543</v>
      </c>
      <c r="C34" s="0" t="s">
        <v>450</v>
      </c>
      <c r="D34" s="0" t="n">
        <v>49615870000000</v>
      </c>
      <c r="J34" s="0" t="n">
        <v>15492710000000</v>
      </c>
      <c r="K34" s="0" t="n">
        <v>19985628000000</v>
      </c>
      <c r="L34" s="0" t="n">
        <v>4351779000000</v>
      </c>
      <c r="M34" s="0" t="n">
        <v>12265296000000</v>
      </c>
      <c r="N34" s="0" t="n">
        <v>150575562640</v>
      </c>
      <c r="O34" s="0" t="n">
        <v>2249833632000000</v>
      </c>
      <c r="P34" s="0" t="n">
        <v>1904771578000000</v>
      </c>
      <c r="Q34" s="0" t="n">
        <v>338203528000000</v>
      </c>
      <c r="R34" s="0" t="n">
        <v>181084610000000</v>
      </c>
      <c r="S34" s="0" t="n">
        <v>206869633000000</v>
      </c>
      <c r="Z34" s="0" t="n">
        <v>2218589000000</v>
      </c>
      <c r="AA34" s="0" t="n">
        <v>235133403000000</v>
      </c>
      <c r="AB34" s="0" t="n">
        <v>544722228000000</v>
      </c>
      <c r="AC34" s="0" t="n">
        <v>50249703000000</v>
      </c>
      <c r="AD34" s="0" t="n">
        <v>-1261910000000</v>
      </c>
      <c r="AE34" s="0" t="n">
        <v>48987793000000</v>
      </c>
      <c r="AF34" s="0" t="s">
        <v>613</v>
      </c>
      <c r="AG34" s="0" t="s">
        <v>614</v>
      </c>
    </row>
    <row r="35" customFormat="false" ht="15" hidden="false" customHeight="false" outlineLevel="0" collapsed="false">
      <c r="A35" s="0" t="s">
        <v>38</v>
      </c>
      <c r="B35" s="0" t="s">
        <v>543</v>
      </c>
      <c r="C35" s="0" t="s">
        <v>544</v>
      </c>
      <c r="J35" s="0" t="n">
        <v>13197259000000</v>
      </c>
      <c r="K35" s="0" t="n">
        <v>18178660000000</v>
      </c>
      <c r="L35" s="0" t="n">
        <v>3648510000000</v>
      </c>
      <c r="M35" s="0" t="n">
        <v>11838320000000</v>
      </c>
      <c r="N35" s="0" t="n">
        <v>93333000000</v>
      </c>
      <c r="O35" s="0" t="n">
        <v>2463658976000000</v>
      </c>
      <c r="P35" s="0" t="n">
        <v>2178481211000000</v>
      </c>
      <c r="Q35" s="0" t="n">
        <v>254163784000000</v>
      </c>
      <c r="R35" s="0" t="n">
        <v>257989121000000</v>
      </c>
      <c r="S35" s="0" t="n">
        <v>198211184000000</v>
      </c>
      <c r="Z35" s="0" t="n">
        <v>10565699000000</v>
      </c>
      <c r="AA35" s="0" t="n">
        <v>184356921000000</v>
      </c>
      <c r="AB35" s="0" t="n">
        <v>450776783000000</v>
      </c>
      <c r="AC35" s="0" t="n">
        <v>20242157000000</v>
      </c>
      <c r="AD35" s="0" t="n">
        <v>-870271000000</v>
      </c>
      <c r="AE35" s="0" t="n">
        <v>19371886000000</v>
      </c>
      <c r="AF35" s="0" t="s">
        <v>615</v>
      </c>
      <c r="AG35" s="0" t="s">
        <v>616</v>
      </c>
    </row>
    <row r="36" customFormat="false" ht="15" hidden="false" customHeight="false" outlineLevel="0" collapsed="false">
      <c r="A36" s="0" t="s">
        <v>38</v>
      </c>
      <c r="B36" s="0" t="s">
        <v>543</v>
      </c>
      <c r="C36" s="0" t="s">
        <v>547</v>
      </c>
      <c r="D36" s="0" t="n">
        <v>31976975000000</v>
      </c>
      <c r="J36" s="0" t="n">
        <v>11257823000000</v>
      </c>
      <c r="K36" s="0" t="n">
        <v>15344713000000</v>
      </c>
      <c r="L36" s="0" t="n">
        <v>3024537000000</v>
      </c>
      <c r="M36" s="0" t="n">
        <v>12804477000000</v>
      </c>
      <c r="O36" s="0" t="n">
        <v>2514684369000000</v>
      </c>
      <c r="P36" s="0" t="n">
        <v>2216767183000000</v>
      </c>
      <c r="Q36" s="0" t="n">
        <v>266828687000000</v>
      </c>
      <c r="R36" s="0" t="n">
        <v>277273951000000</v>
      </c>
      <c r="S36" s="0" t="n">
        <v>194495445000000</v>
      </c>
      <c r="Z36" s="0" t="n">
        <v>8203142000000</v>
      </c>
      <c r="AA36" s="0" t="n">
        <v>195614744000000</v>
      </c>
      <c r="AB36" s="0" t="n">
        <v>459717675000000</v>
      </c>
      <c r="AC36" s="0" t="n">
        <v>77074103000000</v>
      </c>
      <c r="AD36" s="0" t="n">
        <v>-1613013000000</v>
      </c>
      <c r="AE36" s="0" t="n">
        <v>75461090000000</v>
      </c>
      <c r="AF36" s="0" t="s">
        <v>617</v>
      </c>
      <c r="AG36" s="0" t="s">
        <v>618</v>
      </c>
    </row>
    <row r="37" customFormat="false" ht="15" hidden="false" customHeight="false" outlineLevel="0" collapsed="false">
      <c r="A37" s="0" t="s">
        <v>38</v>
      </c>
      <c r="B37" s="0" t="s">
        <v>543</v>
      </c>
      <c r="C37" s="0" t="s">
        <v>550</v>
      </c>
      <c r="D37" s="0" t="n">
        <v>35112999000000</v>
      </c>
      <c r="AF37" s="0" t="s">
        <v>619</v>
      </c>
      <c r="AG37" s="0" t="s">
        <v>620</v>
      </c>
    </row>
    <row r="38" customFormat="false" ht="15" hidden="false" customHeight="false" outlineLevel="0" collapsed="false">
      <c r="A38" s="0" t="s">
        <v>38</v>
      </c>
      <c r="B38" s="0" t="s">
        <v>543</v>
      </c>
      <c r="C38" s="0" t="s">
        <v>553</v>
      </c>
      <c r="D38" s="0" t="n">
        <v>38615968000000</v>
      </c>
      <c r="J38" s="0" t="n">
        <v>18563808000000</v>
      </c>
      <c r="K38" s="0" t="n">
        <v>24870360000000</v>
      </c>
      <c r="L38" s="0" t="n">
        <v>4897168000000</v>
      </c>
      <c r="M38" s="0" t="n">
        <v>11964907000000</v>
      </c>
      <c r="O38" s="0" t="n">
        <v>2829948026000000</v>
      </c>
      <c r="P38" s="0" t="n">
        <v>2502546028000000</v>
      </c>
      <c r="Q38" s="0" t="n">
        <v>293750669000000</v>
      </c>
      <c r="R38" s="0" t="n">
        <v>384905876000000</v>
      </c>
      <c r="S38" s="0" t="n">
        <v>218797194000000</v>
      </c>
      <c r="Z38" s="0" t="n">
        <v>9463619000000</v>
      </c>
      <c r="AA38" s="0" t="n">
        <v>218129454000000</v>
      </c>
      <c r="AB38" s="0" t="n">
        <v>508518318000000</v>
      </c>
      <c r="AC38" s="0" t="n">
        <v>96505131000000</v>
      </c>
      <c r="AD38" s="0" t="n">
        <v>-3308334000000</v>
      </c>
      <c r="AE38" s="0" t="n">
        <v>93196797000000</v>
      </c>
      <c r="AF38" s="0" t="s">
        <v>621</v>
      </c>
      <c r="AG38" s="0" t="s">
        <v>622</v>
      </c>
    </row>
    <row r="39" customFormat="false" ht="15" hidden="false" customHeight="false" outlineLevel="0" collapsed="false">
      <c r="A39" s="0" t="s">
        <v>38</v>
      </c>
      <c r="B39" s="0" t="s">
        <v>543</v>
      </c>
      <c r="C39" s="0" t="s">
        <v>450</v>
      </c>
      <c r="D39" s="0" t="n">
        <v>34297413000000</v>
      </c>
      <c r="J39" s="0" t="n">
        <v>15384131000000</v>
      </c>
      <c r="K39" s="0" t="n">
        <v>19943929000000</v>
      </c>
      <c r="L39" s="0" t="n">
        <v>3730580000000</v>
      </c>
      <c r="M39" s="0" t="n">
        <v>11650723000000</v>
      </c>
      <c r="N39" s="0" t="n">
        <v>93242000000</v>
      </c>
      <c r="O39" s="0" t="n">
        <v>2432620835000000</v>
      </c>
      <c r="P39" s="0" t="n">
        <v>2118669327000000</v>
      </c>
      <c r="Q39" s="0" t="n">
        <v>304954866000000</v>
      </c>
      <c r="R39" s="0" t="n">
        <v>259931650000000</v>
      </c>
      <c r="S39" s="0" t="n">
        <v>211076419000000</v>
      </c>
      <c r="Z39" s="0" t="n">
        <v>7864098000000</v>
      </c>
      <c r="AA39" s="0" t="n">
        <v>231963542000000</v>
      </c>
      <c r="AB39" s="0" t="n">
        <v>514758841000000</v>
      </c>
      <c r="AC39" s="0" t="n">
        <v>-86676485000000</v>
      </c>
      <c r="AD39" s="0" t="n">
        <v>-570851000000</v>
      </c>
      <c r="AE39" s="0" t="n">
        <v>-87247336000000</v>
      </c>
      <c r="AF39" s="0" t="s">
        <v>623</v>
      </c>
      <c r="AG39" s="0" t="s">
        <v>624</v>
      </c>
    </row>
    <row r="40" customFormat="false" ht="15" hidden="false" customHeight="false" outlineLevel="0" collapsed="false">
      <c r="A40" s="0" t="s">
        <v>38</v>
      </c>
      <c r="B40" s="0" t="s">
        <v>543</v>
      </c>
      <c r="C40" s="0" t="s">
        <v>448</v>
      </c>
      <c r="D40" s="0" t="n">
        <v>30292818000000</v>
      </c>
      <c r="J40" s="0" t="n">
        <v>15028188000000</v>
      </c>
      <c r="K40" s="0" t="n">
        <v>19097239000000</v>
      </c>
      <c r="L40" s="0" t="n">
        <v>3683564000000</v>
      </c>
      <c r="M40" s="0" t="n">
        <v>12756581000000</v>
      </c>
      <c r="O40" s="0" t="n">
        <v>2527568193000000</v>
      </c>
      <c r="P40" s="0" t="n">
        <v>2234544953000000</v>
      </c>
      <c r="Q40" s="0" t="n">
        <v>284593401000000</v>
      </c>
      <c r="R40" s="0" t="n">
        <v>270161458000000</v>
      </c>
      <c r="S40" s="0" t="n">
        <v>225867427000000</v>
      </c>
      <c r="Z40" s="0" t="n">
        <v>9021429000000</v>
      </c>
      <c r="AA40" s="0" t="n">
        <v>211843668000000</v>
      </c>
      <c r="AB40" s="0" t="n">
        <v>509167807000000</v>
      </c>
      <c r="AC40" s="0" t="n">
        <v>-16375844000000</v>
      </c>
      <c r="AD40" s="0" t="n">
        <v>-957278000000</v>
      </c>
      <c r="AE40" s="0" t="n">
        <v>-17333122000000</v>
      </c>
      <c r="AF40" s="0" t="s">
        <v>625</v>
      </c>
      <c r="AG40" s="0" t="s">
        <v>626</v>
      </c>
    </row>
    <row r="41" customFormat="false" ht="15" hidden="false" customHeight="false" outlineLevel="0" collapsed="false">
      <c r="A41" s="0" t="s">
        <v>48</v>
      </c>
      <c r="B41" s="0" t="s">
        <v>543</v>
      </c>
      <c r="C41" s="0" t="s">
        <v>544</v>
      </c>
      <c r="D41" s="0" t="n">
        <v>23066333000000</v>
      </c>
      <c r="E41" s="0" t="n">
        <v>21060846000000</v>
      </c>
      <c r="F41" s="0" t="n">
        <v>2005487000000</v>
      </c>
      <c r="G41" s="0" t="n">
        <v>305668000000</v>
      </c>
      <c r="H41" s="0" t="n">
        <v>315454000000</v>
      </c>
      <c r="I41" s="0" t="n">
        <v>528941000000</v>
      </c>
      <c r="J41" s="0" t="n">
        <v>3088000000</v>
      </c>
      <c r="K41" s="0" t="n">
        <v>195110000000</v>
      </c>
      <c r="L41" s="0" t="n">
        <v>87590000000</v>
      </c>
      <c r="M41" s="0" t="n">
        <v>120344000000</v>
      </c>
      <c r="N41" s="0" t="n">
        <v>1924088000</v>
      </c>
      <c r="O41" s="0" t="n">
        <v>84394724000000</v>
      </c>
      <c r="P41" s="0" t="n">
        <v>22370613000000</v>
      </c>
      <c r="Q41" s="0" t="n">
        <v>62020953000000</v>
      </c>
      <c r="R41" s="0" t="n">
        <v>3690189000000</v>
      </c>
      <c r="S41" s="0" t="n">
        <v>8844860000000</v>
      </c>
      <c r="U41" s="0" t="n">
        <v>47348978000000</v>
      </c>
      <c r="V41" s="0" t="n">
        <v>20225148000000</v>
      </c>
      <c r="W41" s="0" t="n">
        <v>27123830000000</v>
      </c>
      <c r="X41" s="0" t="n">
        <v>36640434000000</v>
      </c>
      <c r="Y41" s="0" t="n">
        <v>3311152000000</v>
      </c>
      <c r="Z41" s="0" t="n">
        <v>1023885000000</v>
      </c>
      <c r="AA41" s="0" t="n">
        <v>60838588000000</v>
      </c>
      <c r="AB41" s="0" t="n">
        <v>70865813000000</v>
      </c>
      <c r="AD41" s="0" t="n">
        <v>-404837000000</v>
      </c>
      <c r="AE41" s="0" t="n">
        <v>503153000000</v>
      </c>
      <c r="AF41" s="0" t="s">
        <v>627</v>
      </c>
      <c r="AG41" s="0" t="s">
        <v>628</v>
      </c>
    </row>
    <row r="42" customFormat="false" ht="15" hidden="false" customHeight="false" outlineLevel="0" collapsed="false">
      <c r="A42" s="0" t="s">
        <v>48</v>
      </c>
      <c r="B42" s="0" t="s">
        <v>543</v>
      </c>
      <c r="C42" s="0" t="s">
        <v>547</v>
      </c>
      <c r="D42" s="0" t="n">
        <v>21302201000000</v>
      </c>
      <c r="E42" s="0" t="n">
        <v>19519857000000</v>
      </c>
      <c r="F42" s="0" t="n">
        <v>1782344000000</v>
      </c>
      <c r="G42" s="0" t="n">
        <v>209838000000</v>
      </c>
      <c r="H42" s="0" t="n">
        <v>198265000000</v>
      </c>
      <c r="I42" s="0" t="n">
        <v>402454000000</v>
      </c>
      <c r="J42" s="0" t="n">
        <v>12732000000</v>
      </c>
      <c r="K42" s="0" t="n">
        <v>99256000000</v>
      </c>
      <c r="L42" s="0" t="n">
        <v>86528000000</v>
      </c>
      <c r="M42" s="0" t="n">
        <v>99009000000</v>
      </c>
      <c r="O42" s="0" t="n">
        <v>79800752000000</v>
      </c>
      <c r="P42" s="0" t="n">
        <v>18725957000000</v>
      </c>
      <c r="Q42" s="0" t="n">
        <v>61071641000000</v>
      </c>
      <c r="R42" s="0" t="n">
        <v>3969928000000</v>
      </c>
      <c r="S42" s="0" t="n">
        <v>5205085000000</v>
      </c>
      <c r="U42" s="0" t="n">
        <v>43240527000000</v>
      </c>
      <c r="V42" s="0" t="n">
        <v>16671528000000</v>
      </c>
      <c r="W42" s="0" t="n">
        <v>26568999000000</v>
      </c>
      <c r="X42" s="0" t="n">
        <v>35014703000000</v>
      </c>
      <c r="Y42" s="0" t="n">
        <v>1669525000000</v>
      </c>
      <c r="Z42" s="0" t="n">
        <v>611649000000</v>
      </c>
      <c r="AA42" s="0" t="n">
        <v>59889276000000</v>
      </c>
      <c r="AB42" s="0" t="n">
        <v>66276726000000</v>
      </c>
      <c r="AD42" s="0" t="n">
        <v>-856200000000</v>
      </c>
      <c r="AE42" s="0" t="n">
        <v>3916197000000</v>
      </c>
      <c r="AF42" s="0" t="s">
        <v>629</v>
      </c>
      <c r="AG42" s="0" t="s">
        <v>630</v>
      </c>
    </row>
    <row r="43" customFormat="false" ht="15" hidden="false" customHeight="false" outlineLevel="0" collapsed="false">
      <c r="A43" s="0" t="s">
        <v>48</v>
      </c>
      <c r="B43" s="0" t="s">
        <v>543</v>
      </c>
      <c r="C43" s="0" t="s">
        <v>553</v>
      </c>
      <c r="D43" s="0" t="n">
        <v>22042961000000</v>
      </c>
      <c r="E43" s="0" t="n">
        <v>19362984000000</v>
      </c>
      <c r="F43" s="0" t="n">
        <v>2679977000000</v>
      </c>
      <c r="G43" s="0" t="n">
        <v>938976000000</v>
      </c>
      <c r="H43" s="0" t="n">
        <v>940038000000</v>
      </c>
      <c r="I43" s="0" t="n">
        <v>1133957000000</v>
      </c>
      <c r="J43" s="0" t="n">
        <v>449762000000</v>
      </c>
      <c r="K43" s="0" t="n">
        <v>932232000000</v>
      </c>
      <c r="L43" s="0" t="n">
        <v>482500000000</v>
      </c>
      <c r="M43" s="0" t="n">
        <v>7806000000</v>
      </c>
      <c r="O43" s="0" t="n">
        <v>75251653000000</v>
      </c>
      <c r="P43" s="0" t="n">
        <v>12680816000000</v>
      </c>
      <c r="Q43" s="0" t="n">
        <v>62567714000000</v>
      </c>
      <c r="R43" s="0" t="n">
        <v>3613292000000</v>
      </c>
      <c r="S43" s="0" t="n">
        <v>761931000000</v>
      </c>
      <c r="U43" s="0" t="n">
        <v>39438262000000</v>
      </c>
      <c r="V43" s="0" t="n">
        <v>10724952000000</v>
      </c>
      <c r="W43" s="0" t="n">
        <v>28713310000000</v>
      </c>
      <c r="X43" s="0" t="n">
        <v>31615003000000</v>
      </c>
      <c r="Y43" s="0" t="n">
        <v>1923276000000</v>
      </c>
      <c r="Z43" s="0" t="n">
        <v>682560000000</v>
      </c>
      <c r="AA43" s="0" t="n">
        <v>61385349000000</v>
      </c>
      <c r="AB43" s="0" t="n">
        <v>63329645000000</v>
      </c>
      <c r="AD43" s="0" t="n">
        <v>-663880000000</v>
      </c>
      <c r="AE43" s="0" t="n">
        <v>486364000000</v>
      </c>
      <c r="AF43" s="0" t="s">
        <v>631</v>
      </c>
      <c r="AG43" s="0" t="s">
        <v>632</v>
      </c>
    </row>
    <row r="44" customFormat="false" ht="15" hidden="false" customHeight="false" outlineLevel="0" collapsed="false">
      <c r="A44" s="0" t="s">
        <v>48</v>
      </c>
      <c r="B44" s="0" t="s">
        <v>543</v>
      </c>
      <c r="C44" s="0" t="s">
        <v>450</v>
      </c>
      <c r="D44" s="0" t="n">
        <v>20114143000000</v>
      </c>
      <c r="E44" s="0" t="n">
        <v>16972899000000</v>
      </c>
      <c r="F44" s="0" t="n">
        <v>3141244000000</v>
      </c>
      <c r="G44" s="0" t="n">
        <v>2020827000000</v>
      </c>
      <c r="H44" s="0" t="n">
        <v>2021836000000</v>
      </c>
      <c r="I44" s="0" t="n">
        <v>2200472000000</v>
      </c>
      <c r="J44" s="0" t="n">
        <v>1538215000000</v>
      </c>
      <c r="K44" s="0" t="n">
        <v>2018901000000</v>
      </c>
      <c r="L44" s="0" t="n">
        <v>480684000000</v>
      </c>
      <c r="M44" s="0" t="n">
        <v>2935000000</v>
      </c>
      <c r="N44" s="0" t="n">
        <v>1924088000</v>
      </c>
      <c r="O44" s="0" t="n">
        <v>76905166000000</v>
      </c>
      <c r="P44" s="0" t="n">
        <v>12796112000000</v>
      </c>
      <c r="Q44" s="0" t="n">
        <v>64105929000000</v>
      </c>
      <c r="R44" s="0" t="n">
        <v>5230860000000</v>
      </c>
      <c r="S44" s="0" t="n">
        <v>167371000000</v>
      </c>
      <c r="U44" s="0" t="n">
        <v>41534134000000</v>
      </c>
      <c r="V44" s="0" t="n">
        <v>10746755000000</v>
      </c>
      <c r="W44" s="0" t="n">
        <v>30787379000000</v>
      </c>
      <c r="X44" s="0" t="n">
        <v>31562154000000</v>
      </c>
      <c r="Y44" s="0" t="n">
        <v>1544912000000</v>
      </c>
      <c r="Z44" s="0" t="n">
        <v>784498000000</v>
      </c>
      <c r="AA44" s="0" t="n">
        <v>62923564000000</v>
      </c>
      <c r="AB44" s="0" t="n">
        <v>64273300000000</v>
      </c>
      <c r="AD44" s="0" t="n">
        <v>-243376000000</v>
      </c>
      <c r="AE44" s="0" t="n">
        <v>2125752000000</v>
      </c>
      <c r="AF44" s="0" t="s">
        <v>633</v>
      </c>
      <c r="AG44" s="0" t="s">
        <v>634</v>
      </c>
    </row>
    <row r="45" customFormat="false" ht="15" hidden="false" customHeight="false" outlineLevel="0" collapsed="false">
      <c r="A45" s="0" t="s">
        <v>48</v>
      </c>
      <c r="B45" s="0" t="s">
        <v>543</v>
      </c>
      <c r="C45" s="0" t="s">
        <v>448</v>
      </c>
      <c r="D45" s="0" t="n">
        <v>21063287000000</v>
      </c>
      <c r="E45" s="0" t="n">
        <v>18219009000000</v>
      </c>
      <c r="F45" s="0" t="n">
        <v>2844278000000</v>
      </c>
      <c r="G45" s="0" t="n">
        <v>1892118000000</v>
      </c>
      <c r="H45" s="0" t="n">
        <v>1880351000000</v>
      </c>
      <c r="I45" s="0" t="n">
        <v>2055289000000</v>
      </c>
      <c r="J45" s="0" t="n">
        <v>1437959000000</v>
      </c>
      <c r="K45" s="0" t="n">
        <v>1878763000000</v>
      </c>
      <c r="L45" s="0" t="n">
        <v>440803000000</v>
      </c>
      <c r="M45" s="0" t="n">
        <v>1588000000</v>
      </c>
      <c r="O45" s="0" t="n">
        <v>77787029000000</v>
      </c>
      <c r="P45" s="0" t="n">
        <v>13779285000000</v>
      </c>
      <c r="Q45" s="0" t="n">
        <v>64004618000000</v>
      </c>
      <c r="R45" s="0" t="n">
        <v>8719955000000</v>
      </c>
      <c r="S45" s="0" t="n">
        <v>0</v>
      </c>
      <c r="U45" s="0" t="n">
        <v>42896233000000</v>
      </c>
      <c r="V45" s="0" t="n">
        <v>11771357000000</v>
      </c>
      <c r="W45" s="0" t="n">
        <v>31124876000000</v>
      </c>
      <c r="X45" s="0" t="n">
        <v>30118765000000</v>
      </c>
      <c r="Y45" s="0" t="n">
        <v>1770283000000</v>
      </c>
      <c r="Z45" s="0" t="n">
        <v>703760000000</v>
      </c>
      <c r="AA45" s="0" t="n">
        <v>62822253000000</v>
      </c>
      <c r="AB45" s="0" t="n">
        <v>64004618000000</v>
      </c>
      <c r="AD45" s="0" t="n">
        <v>-306818000000</v>
      </c>
      <c r="AE45" s="0" t="n">
        <v>3625914000000</v>
      </c>
      <c r="AF45" s="0" t="s">
        <v>635</v>
      </c>
      <c r="AG45" s="0" t="s">
        <v>636</v>
      </c>
    </row>
    <row r="46" customFormat="false" ht="15" hidden="false" customHeight="false" outlineLevel="0" collapsed="false">
      <c r="A46" s="0" t="s">
        <v>45</v>
      </c>
      <c r="B46" s="0" t="s">
        <v>543</v>
      </c>
      <c r="C46" s="0" t="s">
        <v>544</v>
      </c>
      <c r="D46" s="0" t="n">
        <v>8640896528000</v>
      </c>
      <c r="E46" s="0" t="n">
        <v>6217048728000</v>
      </c>
      <c r="F46" s="0" t="n">
        <v>2423847800000</v>
      </c>
      <c r="G46" s="0" t="n">
        <v>1444495096000</v>
      </c>
      <c r="H46" s="0" t="n">
        <v>1555936580000</v>
      </c>
      <c r="I46" s="0" t="n">
        <v>1563099780000</v>
      </c>
      <c r="J46" s="0" t="n">
        <v>1163429036000</v>
      </c>
      <c r="K46" s="0" t="n">
        <v>1534321624000</v>
      </c>
      <c r="L46" s="0" t="n">
        <v>344818540000</v>
      </c>
      <c r="M46" s="0" t="n">
        <v>21614956000</v>
      </c>
      <c r="N46" s="0" t="n">
        <v>1129925000</v>
      </c>
      <c r="O46" s="0" t="n">
        <v>43938997168000</v>
      </c>
      <c r="P46" s="0" t="n">
        <v>8199840396000</v>
      </c>
      <c r="Q46" s="0" t="n">
        <v>35610237080000</v>
      </c>
      <c r="R46" s="0" t="n">
        <v>19027339540000</v>
      </c>
      <c r="S46" s="0" t="n">
        <v>1018284696000</v>
      </c>
      <c r="T46" s="0" t="n">
        <v>830322328000</v>
      </c>
      <c r="U46" s="0" t="n">
        <v>24649072624000</v>
      </c>
      <c r="V46" s="0" t="n">
        <v>5366723164000</v>
      </c>
      <c r="W46" s="0" t="n">
        <v>19282349460000</v>
      </c>
      <c r="X46" s="0" t="n">
        <v>2030946280000</v>
      </c>
      <c r="Y46" s="0" t="n">
        <v>2477338996000</v>
      </c>
      <c r="Z46" s="0" t="n">
        <v>2716124268000</v>
      </c>
      <c r="AA46" s="0" t="n">
        <v>27675721612000</v>
      </c>
      <c r="AB46" s="0" t="n">
        <v>36577340712000</v>
      </c>
      <c r="AD46" s="0" t="n">
        <v>-618506504000</v>
      </c>
      <c r="AE46" s="0" t="n">
        <v>205279404000</v>
      </c>
      <c r="AF46" s="0" t="s">
        <v>637</v>
      </c>
      <c r="AG46" s="0" t="s">
        <v>638</v>
      </c>
    </row>
    <row r="47" customFormat="false" ht="15" hidden="false" customHeight="false" outlineLevel="0" collapsed="false">
      <c r="A47" s="0" t="s">
        <v>45</v>
      </c>
      <c r="B47" s="0" t="s">
        <v>543</v>
      </c>
      <c r="C47" s="0" t="s">
        <v>547</v>
      </c>
      <c r="D47" s="0" t="n">
        <v>7824005200000</v>
      </c>
      <c r="E47" s="0" t="n">
        <v>6223710504000</v>
      </c>
      <c r="F47" s="0" t="n">
        <v>1600294696000</v>
      </c>
      <c r="G47" s="0" t="n">
        <v>792178288000</v>
      </c>
      <c r="H47" s="0" t="n">
        <v>998550080000</v>
      </c>
      <c r="I47" s="0" t="n">
        <v>1279186348000</v>
      </c>
      <c r="J47" s="0" t="n">
        <v>465804988000</v>
      </c>
      <c r="K47" s="0" t="n">
        <v>925933140000</v>
      </c>
      <c r="L47" s="0" t="n">
        <v>432209580000</v>
      </c>
      <c r="M47" s="0" t="n">
        <v>72616940000</v>
      </c>
      <c r="O47" s="0" t="n">
        <v>42740808704000</v>
      </c>
      <c r="P47" s="0" t="n">
        <v>9247279316000</v>
      </c>
      <c r="Q47" s="0" t="n">
        <v>33336691124000</v>
      </c>
      <c r="R47" s="0" t="n">
        <v>18627095740000</v>
      </c>
      <c r="S47" s="0" t="n">
        <v>2117943344000</v>
      </c>
      <c r="T47" s="0" t="n">
        <v>703802308000</v>
      </c>
      <c r="U47" s="0" t="n">
        <v>24868356084000</v>
      </c>
      <c r="V47" s="0" t="n">
        <v>6069647980000</v>
      </c>
      <c r="W47" s="0" t="n">
        <v>18798708104000</v>
      </c>
      <c r="X47" s="0" t="n">
        <v>2141349100000</v>
      </c>
      <c r="Y47" s="0" t="n">
        <v>1868825156000</v>
      </c>
      <c r="Z47" s="0" t="n">
        <v>2697786476000</v>
      </c>
      <c r="AA47" s="0" t="n">
        <v>25386112180000</v>
      </c>
      <c r="AB47" s="0" t="n">
        <v>34249694688000</v>
      </c>
      <c r="AD47" s="0" t="n">
        <v>-497054448000</v>
      </c>
      <c r="AE47" s="0" t="n">
        <v>3715945816000</v>
      </c>
      <c r="AF47" s="0" t="s">
        <v>639</v>
      </c>
      <c r="AG47" s="0" t="s">
        <v>640</v>
      </c>
    </row>
    <row r="48" customFormat="false" ht="15" hidden="false" customHeight="false" outlineLevel="0" collapsed="false">
      <c r="A48" s="0" t="s">
        <v>45</v>
      </c>
      <c r="B48" s="0" t="s">
        <v>543</v>
      </c>
      <c r="C48" s="0" t="s">
        <v>550</v>
      </c>
      <c r="D48" s="0" t="n">
        <v>8055018400000</v>
      </c>
      <c r="E48" s="0" t="n">
        <v>6223065816000</v>
      </c>
      <c r="F48" s="0" t="n">
        <v>1831952584000</v>
      </c>
      <c r="G48" s="0" t="n">
        <v>985351884000</v>
      </c>
      <c r="H48" s="0" t="n">
        <v>1177880792000</v>
      </c>
      <c r="I48" s="0" t="n">
        <v>1322595340000</v>
      </c>
      <c r="J48" s="0" t="n">
        <v>709300064000</v>
      </c>
      <c r="K48" s="0" t="n">
        <v>1143766052000</v>
      </c>
      <c r="L48" s="0" t="n">
        <v>424419600000</v>
      </c>
      <c r="M48" s="0" t="n">
        <v>34114740000</v>
      </c>
      <c r="O48" s="0" t="n">
        <v>42669409508000</v>
      </c>
      <c r="P48" s="0" t="n">
        <v>8509899508000</v>
      </c>
      <c r="Q48" s="0" t="n">
        <v>33992392544000</v>
      </c>
      <c r="R48" s="0" t="n">
        <v>17411894676000</v>
      </c>
      <c r="S48" s="0" t="n">
        <v>1730969372000</v>
      </c>
      <c r="T48" s="0" t="n">
        <v>616268004000</v>
      </c>
      <c r="U48" s="0" t="n">
        <v>23283426452000</v>
      </c>
      <c r="V48" s="0" t="n">
        <v>5497666460000</v>
      </c>
      <c r="W48" s="0" t="n">
        <v>17785759992000</v>
      </c>
      <c r="X48" s="0" t="n">
        <v>1823732812000</v>
      </c>
      <c r="Y48" s="0" t="n">
        <v>2055641412000</v>
      </c>
      <c r="Z48" s="0" t="n">
        <v>2670387236000</v>
      </c>
      <c r="AA48" s="0" t="n">
        <v>26080100904000</v>
      </c>
      <c r="AB48" s="0" t="n">
        <v>34751960364000</v>
      </c>
      <c r="AD48" s="0" t="n">
        <v>-616268004000</v>
      </c>
      <c r="AE48" s="0" t="n">
        <v>-843430984000</v>
      </c>
      <c r="AF48" s="0" t="s">
        <v>641</v>
      </c>
      <c r="AG48" s="0" t="s">
        <v>642</v>
      </c>
    </row>
    <row r="49" customFormat="false" ht="15" hidden="false" customHeight="false" outlineLevel="0" collapsed="false">
      <c r="A49" s="0" t="s">
        <v>45</v>
      </c>
      <c r="B49" s="0" t="s">
        <v>543</v>
      </c>
      <c r="C49" s="0" t="s">
        <v>553</v>
      </c>
      <c r="D49" s="0" t="n">
        <v>9166944028000</v>
      </c>
      <c r="E49" s="0" t="n">
        <v>6376394112000</v>
      </c>
      <c r="F49" s="0" t="n">
        <v>2790549916000</v>
      </c>
      <c r="G49" s="0" t="n">
        <v>1553787620000</v>
      </c>
      <c r="H49" s="0" t="n">
        <v>1572770100000</v>
      </c>
      <c r="I49" s="0" t="n">
        <v>1722570520000</v>
      </c>
      <c r="J49" s="0" t="n">
        <v>1080819432000</v>
      </c>
      <c r="K49" s="0" t="n">
        <v>1539407496000</v>
      </c>
      <c r="L49" s="0" t="n">
        <v>455740692000</v>
      </c>
      <c r="M49" s="0" t="n">
        <v>33362604000</v>
      </c>
      <c r="O49" s="0" t="n">
        <v>43087776204000</v>
      </c>
      <c r="P49" s="0" t="n">
        <v>8913384656000</v>
      </c>
      <c r="Q49" s="0" t="n">
        <v>33996332304000</v>
      </c>
      <c r="R49" s="0" t="n">
        <v>14468696968000</v>
      </c>
      <c r="S49" s="0" t="n">
        <v>1588170980000</v>
      </c>
      <c r="T49" s="0" t="n">
        <v>574828892000</v>
      </c>
      <c r="U49" s="0" t="n">
        <v>23201676432000</v>
      </c>
      <c r="V49" s="0" t="n">
        <v>6169574620000</v>
      </c>
      <c r="W49" s="0" t="n">
        <v>17032101812000</v>
      </c>
      <c r="X49" s="0" t="n">
        <v>2015348412000</v>
      </c>
      <c r="Y49" s="0" t="n">
        <v>2780199092000</v>
      </c>
      <c r="Z49" s="0" t="n">
        <v>2826777800000</v>
      </c>
      <c r="AA49" s="0" t="n">
        <v>26227823996000</v>
      </c>
      <c r="AB49" s="0" t="n">
        <v>34686363360000</v>
      </c>
      <c r="AD49" s="0" t="n">
        <v>-412349608000</v>
      </c>
      <c r="AE49" s="0" t="n">
        <v>-109596960000</v>
      </c>
      <c r="AF49" s="0" t="s">
        <v>643</v>
      </c>
      <c r="AG49" s="0" t="s">
        <v>644</v>
      </c>
    </row>
    <row r="50" customFormat="false" ht="15" hidden="false" customHeight="false" outlineLevel="0" collapsed="false">
      <c r="A50" s="0" t="s">
        <v>45</v>
      </c>
      <c r="B50" s="0" t="s">
        <v>543</v>
      </c>
      <c r="C50" s="0" t="s">
        <v>450</v>
      </c>
      <c r="D50" s="0" t="n">
        <v>8910608916000</v>
      </c>
      <c r="E50" s="0" t="n">
        <v>6533268192000</v>
      </c>
      <c r="F50" s="0" t="n">
        <v>2377340724000</v>
      </c>
      <c r="G50" s="0" t="n">
        <v>1366165504000</v>
      </c>
      <c r="H50" s="0" t="n">
        <v>1487295216000</v>
      </c>
      <c r="I50" s="0" t="n">
        <v>1605434292000</v>
      </c>
      <c r="J50" s="0" t="n">
        <v>979101992000</v>
      </c>
      <c r="K50" s="0" t="n">
        <v>1465948880000</v>
      </c>
      <c r="L50" s="0" t="n">
        <v>468312108000</v>
      </c>
      <c r="M50" s="0" t="n">
        <v>21346336000</v>
      </c>
      <c r="N50" s="0" t="n">
        <v>1117274000</v>
      </c>
      <c r="O50" s="0" t="n">
        <v>43068059496000</v>
      </c>
      <c r="P50" s="0" t="n">
        <v>8598168040000</v>
      </c>
      <c r="Q50" s="0" t="n">
        <v>34334542792000</v>
      </c>
      <c r="R50" s="0" t="n">
        <v>13380302452000</v>
      </c>
      <c r="S50" s="0" t="n">
        <v>1460504848000</v>
      </c>
      <c r="T50" s="0" t="n">
        <v>526423568000</v>
      </c>
      <c r="U50" s="0" t="n">
        <v>21900893036000</v>
      </c>
      <c r="V50" s="0" t="n">
        <v>6061875908000</v>
      </c>
      <c r="W50" s="0" t="n">
        <v>15839017128000</v>
      </c>
      <c r="X50" s="0" t="n">
        <v>1505382296000</v>
      </c>
      <c r="Y50" s="0" t="n">
        <v>2337513332000</v>
      </c>
      <c r="Z50" s="0" t="n">
        <v>2468958052000</v>
      </c>
      <c r="AA50" s="0" t="n">
        <v>27219031796000</v>
      </c>
      <c r="AB50" s="0" t="n">
        <v>35011554732000</v>
      </c>
      <c r="AD50" s="0" t="n">
        <v>-218226888000</v>
      </c>
      <c r="AE50" s="0" t="n">
        <v>950592456000</v>
      </c>
      <c r="AF50" s="0" t="s">
        <v>645</v>
      </c>
      <c r="AG50" s="0" t="s">
        <v>646</v>
      </c>
    </row>
    <row r="51" customFormat="false" ht="15" hidden="false" customHeight="false" outlineLevel="0" collapsed="false">
      <c r="A51" s="0" t="s">
        <v>46</v>
      </c>
      <c r="B51" s="0" t="s">
        <v>543</v>
      </c>
      <c r="C51" s="0" t="s">
        <v>560</v>
      </c>
      <c r="D51" s="0" t="n">
        <v>12109035000000</v>
      </c>
      <c r="E51" s="0" t="n">
        <v>9515074000000</v>
      </c>
      <c r="F51" s="0" t="n">
        <v>2593961000000</v>
      </c>
      <c r="G51" s="0" t="n">
        <v>1723194000000</v>
      </c>
      <c r="H51" s="0" t="n">
        <v>2119345000000</v>
      </c>
      <c r="I51" s="0" t="n">
        <v>2199978000000</v>
      </c>
      <c r="J51" s="0" t="n">
        <v>1873380000000</v>
      </c>
      <c r="K51" s="0" t="n">
        <v>2065893000000</v>
      </c>
      <c r="L51" s="0" t="n">
        <v>185249000000</v>
      </c>
      <c r="M51" s="0" t="n">
        <v>53452000000</v>
      </c>
      <c r="O51" s="0" t="n">
        <v>41785576000000</v>
      </c>
      <c r="P51" s="0" t="n">
        <v>19141764000000</v>
      </c>
      <c r="Q51" s="0" t="n">
        <v>22505288000000</v>
      </c>
      <c r="R51" s="0" t="n">
        <v>4132858000000</v>
      </c>
      <c r="S51" s="0" t="n">
        <v>2251033000000</v>
      </c>
      <c r="T51" s="0" t="n">
        <v>0</v>
      </c>
      <c r="U51" s="0" t="n">
        <v>15233514000000</v>
      </c>
      <c r="V51" s="0" t="n">
        <v>11974820000000</v>
      </c>
      <c r="W51" s="0" t="n">
        <v>3258694000000</v>
      </c>
      <c r="X51" s="0" t="n">
        <v>4869337000000</v>
      </c>
      <c r="Y51" s="0" t="n">
        <v>5030071000000</v>
      </c>
      <c r="Z51" s="0" t="n">
        <v>2920012000000</v>
      </c>
      <c r="AA51" s="0" t="n">
        <v>5868485000000</v>
      </c>
      <c r="AB51" s="0" t="n">
        <v>23902968000000</v>
      </c>
      <c r="AE51" s="0" t="n">
        <v>841037000000</v>
      </c>
      <c r="AF51" s="0" t="s">
        <v>647</v>
      </c>
      <c r="AG51" s="0" t="s">
        <v>648</v>
      </c>
    </row>
    <row r="52" customFormat="false" ht="15" hidden="false" customHeight="false" outlineLevel="0" collapsed="false">
      <c r="A52" s="0" t="s">
        <v>46</v>
      </c>
      <c r="B52" s="0" t="s">
        <v>543</v>
      </c>
      <c r="C52" s="0" t="s">
        <v>544</v>
      </c>
      <c r="D52" s="0" t="n">
        <v>9958441000000</v>
      </c>
      <c r="E52" s="0" t="n">
        <v>8911252000000</v>
      </c>
      <c r="F52" s="0" t="n">
        <v>1047189000000</v>
      </c>
      <c r="G52" s="0" t="n">
        <v>318030000000</v>
      </c>
      <c r="H52" s="0" t="n">
        <v>558754000000</v>
      </c>
      <c r="I52" s="0" t="n">
        <v>636500000000</v>
      </c>
      <c r="J52" s="0" t="n">
        <v>391479000000</v>
      </c>
      <c r="K52" s="0" t="n">
        <v>518111000000</v>
      </c>
      <c r="L52" s="0" t="n">
        <v>121341000000</v>
      </c>
      <c r="M52" s="0" t="n">
        <v>40643000000</v>
      </c>
      <c r="N52" s="0" t="n">
        <v>11514357250</v>
      </c>
      <c r="O52" s="0" t="n">
        <v>42257575000000</v>
      </c>
      <c r="P52" s="0" t="n">
        <v>19187614000000</v>
      </c>
      <c r="Q52" s="0" t="n">
        <v>22926151000000</v>
      </c>
      <c r="R52" s="0" t="n">
        <v>4869845000000</v>
      </c>
      <c r="S52" s="0" t="n">
        <v>2005982000000</v>
      </c>
      <c r="U52" s="0" t="n">
        <v>14253337000000</v>
      </c>
      <c r="V52" s="0" t="n">
        <v>11994917000000</v>
      </c>
      <c r="W52" s="0" t="n">
        <v>2258420000000</v>
      </c>
      <c r="X52" s="0" t="n">
        <v>4309453000000</v>
      </c>
      <c r="Y52" s="0" t="n">
        <v>4358395000000</v>
      </c>
      <c r="Z52" s="0" t="n">
        <v>3222748000000</v>
      </c>
      <c r="AA52" s="0" t="n">
        <v>6273883000000</v>
      </c>
      <c r="AB52" s="0" t="n">
        <v>24176151000000</v>
      </c>
      <c r="AD52" s="0" t="n">
        <v>-616715000000</v>
      </c>
      <c r="AE52" s="0" t="n">
        <v>596101000000</v>
      </c>
      <c r="AF52" s="0" t="s">
        <v>649</v>
      </c>
      <c r="AG52" s="0" t="s">
        <v>650</v>
      </c>
    </row>
    <row r="53" customFormat="false" ht="15" hidden="false" customHeight="false" outlineLevel="0" collapsed="false">
      <c r="A53" s="0" t="s">
        <v>46</v>
      </c>
      <c r="B53" s="0" t="s">
        <v>543</v>
      </c>
      <c r="C53" s="0" t="s">
        <v>547</v>
      </c>
      <c r="D53" s="0" t="n">
        <v>10493950000000</v>
      </c>
      <c r="E53" s="0" t="n">
        <v>9294244000000</v>
      </c>
      <c r="F53" s="0" t="n">
        <v>1199706000000</v>
      </c>
      <c r="G53" s="0" t="n">
        <v>471661000000</v>
      </c>
      <c r="H53" s="0" t="n">
        <v>610904000000</v>
      </c>
      <c r="I53" s="0" t="n">
        <v>686339000000</v>
      </c>
      <c r="J53" s="0" t="n">
        <v>441565000000</v>
      </c>
      <c r="K53" s="0" t="n">
        <v>577367000000</v>
      </c>
      <c r="L53" s="0" t="n">
        <v>134235000000</v>
      </c>
      <c r="M53" s="0" t="n">
        <v>33537000000</v>
      </c>
      <c r="O53" s="0" t="n">
        <v>42680945000000</v>
      </c>
      <c r="P53" s="0" t="n">
        <v>22895811000000</v>
      </c>
      <c r="Q53" s="0" t="n">
        <v>19639757000000</v>
      </c>
      <c r="R53" s="0" t="n">
        <v>4037992000000</v>
      </c>
      <c r="S53" s="0" t="n">
        <v>1228996000000</v>
      </c>
      <c r="T53" s="0" t="n">
        <v>1860000000</v>
      </c>
      <c r="U53" s="0" t="n">
        <v>15876625000000</v>
      </c>
      <c r="V53" s="0" t="n">
        <v>15677303000000</v>
      </c>
      <c r="W53" s="0" t="n">
        <v>199322000000</v>
      </c>
      <c r="X53" s="0" t="n">
        <v>4348823000000</v>
      </c>
      <c r="Y53" s="0" t="n">
        <v>5566811000000</v>
      </c>
      <c r="Z53" s="0" t="n">
        <v>4370210000000</v>
      </c>
      <c r="AA53" s="0" t="n">
        <v>2989347000000</v>
      </c>
      <c r="AB53" s="0" t="n">
        <v>20141717000000</v>
      </c>
      <c r="AD53" s="0" t="n">
        <v>-913924000000</v>
      </c>
      <c r="AE53" s="0" t="n">
        <v>97139000000</v>
      </c>
      <c r="AF53" s="0" t="s">
        <v>651</v>
      </c>
      <c r="AG53" s="0" t="s">
        <v>652</v>
      </c>
    </row>
    <row r="54" customFormat="false" ht="15" hidden="false" customHeight="false" outlineLevel="0" collapsed="false">
      <c r="A54" s="0" t="s">
        <v>46</v>
      </c>
      <c r="B54" s="0" t="s">
        <v>543</v>
      </c>
      <c r="C54" s="0" t="s">
        <v>553</v>
      </c>
      <c r="D54" s="0" t="n">
        <v>11321428000000</v>
      </c>
      <c r="E54" s="0" t="n">
        <v>8630269000000</v>
      </c>
      <c r="F54" s="0" t="n">
        <v>2691159000000</v>
      </c>
      <c r="G54" s="0" t="n">
        <v>1545686000000</v>
      </c>
      <c r="H54" s="0" t="n">
        <v>2003113000000</v>
      </c>
      <c r="I54" s="0" t="n">
        <v>2077622000000</v>
      </c>
      <c r="J54" s="0" t="n">
        <v>1535931000000</v>
      </c>
      <c r="K54" s="0" t="n">
        <v>1934655000000</v>
      </c>
      <c r="L54" s="0" t="n">
        <v>375562000000</v>
      </c>
      <c r="M54" s="0" t="n">
        <v>68458000000</v>
      </c>
      <c r="O54" s="0" t="n">
        <v>43917063000000</v>
      </c>
      <c r="P54" s="0" t="n">
        <v>21300262000000</v>
      </c>
      <c r="Q54" s="0" t="n">
        <v>22483714000000</v>
      </c>
      <c r="R54" s="0" t="n">
        <v>4522194000000</v>
      </c>
      <c r="S54" s="0" t="n">
        <v>3857183000000</v>
      </c>
      <c r="T54" s="0" t="n">
        <v>1277425000000</v>
      </c>
      <c r="U54" s="0" t="n">
        <v>14241193000000</v>
      </c>
      <c r="V54" s="0" t="n">
        <v>12727127000000</v>
      </c>
      <c r="W54" s="0" t="n">
        <v>1514066000000</v>
      </c>
      <c r="X54" s="0" t="n">
        <v>4883306000000</v>
      </c>
      <c r="Y54" s="0" t="n">
        <v>3934867000000</v>
      </c>
      <c r="Z54" s="0" t="n">
        <v>3624478000000</v>
      </c>
      <c r="AA54" s="0" t="n">
        <v>5540602000000</v>
      </c>
      <c r="AB54" s="0" t="n">
        <v>25711239000000</v>
      </c>
      <c r="AD54" s="0" t="n">
        <v>-1056735000000</v>
      </c>
      <c r="AE54" s="0" t="n">
        <v>1000609000000</v>
      </c>
      <c r="AF54" s="0" t="s">
        <v>653</v>
      </c>
      <c r="AG54" s="0" t="s">
        <v>654</v>
      </c>
    </row>
    <row r="55" customFormat="false" ht="15" hidden="false" customHeight="false" outlineLevel="0" collapsed="false">
      <c r="A55" s="0" t="s">
        <v>46</v>
      </c>
      <c r="B55" s="0" t="s">
        <v>543</v>
      </c>
      <c r="C55" s="0" t="s">
        <v>450</v>
      </c>
      <c r="D55" s="0" t="n">
        <v>9929722000000</v>
      </c>
      <c r="E55" s="0" t="n">
        <v>8385940000000</v>
      </c>
      <c r="F55" s="0" t="n">
        <v>1543782000000</v>
      </c>
      <c r="G55" s="0" t="n">
        <v>798320000000</v>
      </c>
      <c r="H55" s="0" t="n">
        <v>1061701000000</v>
      </c>
      <c r="I55" s="0" t="n">
        <v>1134666000000</v>
      </c>
      <c r="J55" s="0" t="n">
        <v>801794000000</v>
      </c>
      <c r="K55" s="0" t="n">
        <v>1033294000000</v>
      </c>
      <c r="L55" s="0" t="n">
        <v>227184000000</v>
      </c>
      <c r="M55" s="0" t="n">
        <v>28407000000</v>
      </c>
      <c r="N55" s="0" t="n">
        <v>11520659250</v>
      </c>
      <c r="O55" s="0" t="n">
        <v>43228243000000</v>
      </c>
      <c r="P55" s="0" t="n">
        <v>19557671000000</v>
      </c>
      <c r="Q55" s="0" t="n">
        <v>23533169000000</v>
      </c>
      <c r="R55" s="0" t="n">
        <v>4192245000000</v>
      </c>
      <c r="S55" s="0" t="n">
        <v>2719627000000</v>
      </c>
      <c r="T55" s="0" t="n">
        <v>2040443000000</v>
      </c>
      <c r="U55" s="0" t="n">
        <v>13045179000000</v>
      </c>
      <c r="V55" s="0" t="n">
        <v>10288875000000</v>
      </c>
      <c r="W55" s="0" t="n">
        <v>2756304000000</v>
      </c>
      <c r="X55" s="0" t="n">
        <v>3379850000000</v>
      </c>
      <c r="Y55" s="0" t="n">
        <v>4840760000000</v>
      </c>
      <c r="Z55" s="0" t="n">
        <v>2078216000000</v>
      </c>
      <c r="AA55" s="0" t="n">
        <v>6568137000000</v>
      </c>
      <c r="AB55" s="0" t="n">
        <v>25573712000000</v>
      </c>
      <c r="AD55" s="0" t="n">
        <v>-915800000000</v>
      </c>
      <c r="AE55" s="0" t="n">
        <v>1144204000000</v>
      </c>
      <c r="AF55" s="0" t="s">
        <v>655</v>
      </c>
      <c r="AG55" s="0" t="s">
        <v>656</v>
      </c>
    </row>
    <row r="56" customFormat="false" ht="15" hidden="false" customHeight="false" outlineLevel="0" collapsed="false">
      <c r="A56" s="0" t="s">
        <v>50</v>
      </c>
      <c r="B56" s="0" t="s">
        <v>543</v>
      </c>
      <c r="C56" s="0" t="s">
        <v>544</v>
      </c>
      <c r="N56" s="0" t="n">
        <v>99062216600</v>
      </c>
      <c r="AF56" s="0" t="s">
        <v>657</v>
      </c>
      <c r="AG56" s="0" t="s">
        <v>658</v>
      </c>
    </row>
    <row r="57" customFormat="false" ht="15" hidden="false" customHeight="false" outlineLevel="0" collapsed="false">
      <c r="A57" s="0" t="s">
        <v>50</v>
      </c>
      <c r="B57" s="0" t="s">
        <v>543</v>
      </c>
      <c r="C57" s="0" t="s">
        <v>547</v>
      </c>
      <c r="D57" s="0" t="n">
        <v>36365000000000</v>
      </c>
      <c r="E57" s="0" t="n">
        <v>12283000000000</v>
      </c>
      <c r="F57" s="0" t="n">
        <v>24082000000000</v>
      </c>
      <c r="G57" s="0" t="n">
        <v>9802000000000</v>
      </c>
      <c r="H57" s="0" t="n">
        <v>9878000000000</v>
      </c>
      <c r="I57" s="0" t="n">
        <v>18021000000000</v>
      </c>
      <c r="J57" s="0" t="n">
        <v>5165000000000</v>
      </c>
      <c r="K57" s="0" t="n">
        <v>8547000000000</v>
      </c>
      <c r="L57" s="0" t="n">
        <v>2018000000000</v>
      </c>
      <c r="M57" s="0" t="n">
        <v>1331000000000</v>
      </c>
      <c r="O57" s="0" t="n">
        <v>293797000000000</v>
      </c>
      <c r="P57" s="0" t="n">
        <v>145435000000000</v>
      </c>
      <c r="Q57" s="0" t="n">
        <v>132141000000000</v>
      </c>
      <c r="R57" s="0" t="n">
        <v>33185000000000</v>
      </c>
      <c r="S57" s="0" t="n">
        <v>84799000000000</v>
      </c>
      <c r="T57" s="0" t="n">
        <v>25698000000000</v>
      </c>
      <c r="U57" s="0" t="n">
        <v>60378000000000</v>
      </c>
      <c r="V57" s="0" t="n">
        <v>85001000000000</v>
      </c>
      <c r="W57" s="0" t="n">
        <v>-24623000000000</v>
      </c>
      <c r="X57" s="0" t="n">
        <v>979000000000</v>
      </c>
      <c r="Y57" s="0" t="n">
        <v>12792000000000</v>
      </c>
      <c r="Z57" s="0" t="n">
        <v>12762000000000</v>
      </c>
      <c r="AA57" s="0" t="n">
        <v>99520000000000</v>
      </c>
      <c r="AB57" s="0" t="n">
        <v>193035000000000</v>
      </c>
      <c r="AD57" s="0" t="n">
        <v>-5711000000000</v>
      </c>
      <c r="AE57" s="0" t="n">
        <v>10086000000000</v>
      </c>
      <c r="AF57" s="0" t="s">
        <v>659</v>
      </c>
      <c r="AG57" s="0" t="s">
        <v>660</v>
      </c>
    </row>
    <row r="58" customFormat="false" ht="15" hidden="false" customHeight="false" outlineLevel="0" collapsed="false">
      <c r="A58" s="0" t="s">
        <v>50</v>
      </c>
      <c r="B58" s="0" t="s">
        <v>543</v>
      </c>
      <c r="C58" s="0" t="s">
        <v>550</v>
      </c>
      <c r="D58" s="0" t="n">
        <v>36613000000000</v>
      </c>
      <c r="E58" s="0" t="n">
        <v>11990000000000</v>
      </c>
      <c r="F58" s="0" t="n">
        <v>24623000000000</v>
      </c>
      <c r="G58" s="0" t="n">
        <v>9418000000000</v>
      </c>
      <c r="H58" s="0" t="n">
        <v>9669000000000</v>
      </c>
      <c r="I58" s="0" t="n">
        <v>18538000000000</v>
      </c>
      <c r="J58" s="0" t="n">
        <v>4809000000000</v>
      </c>
      <c r="K58" s="0" t="n">
        <v>8285000000000</v>
      </c>
      <c r="L58" s="0" t="n">
        <v>1816000000000</v>
      </c>
      <c r="M58" s="0" t="n">
        <v>1384000000000</v>
      </c>
      <c r="O58" s="0" t="n">
        <v>291897000000000</v>
      </c>
      <c r="P58" s="0" t="n">
        <v>136885000000000</v>
      </c>
      <c r="Q58" s="0" t="n">
        <v>137139000000000</v>
      </c>
      <c r="R58" s="0" t="n">
        <v>31554000000000</v>
      </c>
      <c r="S58" s="0" t="n">
        <v>77678000000000</v>
      </c>
      <c r="T58" s="0" t="n">
        <v>25802000000000</v>
      </c>
      <c r="U58" s="0" t="n">
        <v>58408000000000</v>
      </c>
      <c r="V58" s="0" t="n">
        <v>75685000000000</v>
      </c>
      <c r="W58" s="0" t="n">
        <v>-17277000000000</v>
      </c>
      <c r="X58" s="0" t="n">
        <v>1085000000000</v>
      </c>
      <c r="Y58" s="0" t="n">
        <v>12546000000000</v>
      </c>
      <c r="Z58" s="0" t="n">
        <v>14306000000000</v>
      </c>
      <c r="AA58" s="0" t="n">
        <v>104327000000000</v>
      </c>
      <c r="AB58" s="0" t="n">
        <v>190660000000000</v>
      </c>
      <c r="AD58" s="0" t="n">
        <v>-6798000000000</v>
      </c>
      <c r="AE58" s="0" t="n">
        <v>10234000000000</v>
      </c>
      <c r="AF58" s="0" t="s">
        <v>661</v>
      </c>
      <c r="AG58" s="0" t="s">
        <v>662</v>
      </c>
    </row>
    <row r="59" customFormat="false" ht="15" hidden="false" customHeight="false" outlineLevel="0" collapsed="false">
      <c r="A59" s="0" t="s">
        <v>50</v>
      </c>
      <c r="B59" s="0" t="s">
        <v>543</v>
      </c>
      <c r="C59" s="0" t="s">
        <v>553</v>
      </c>
      <c r="D59" s="0" t="n">
        <v>37125000000000</v>
      </c>
      <c r="E59" s="0" t="n">
        <v>12307000000000</v>
      </c>
      <c r="F59" s="0" t="n">
        <v>24818000000000</v>
      </c>
      <c r="G59" s="0" t="n">
        <v>4798000000000</v>
      </c>
      <c r="H59" s="0" t="n">
        <v>5264000000000</v>
      </c>
      <c r="I59" s="0" t="n">
        <v>17850000000000</v>
      </c>
      <c r="J59" s="0" t="n">
        <v>1702000000000</v>
      </c>
      <c r="K59" s="0" t="n">
        <v>4087000000000</v>
      </c>
      <c r="L59" s="0" t="n">
        <v>714000000000</v>
      </c>
      <c r="M59" s="0" t="n">
        <v>1177000000000</v>
      </c>
      <c r="O59" s="0" t="n">
        <v>287280000000000</v>
      </c>
      <c r="P59" s="0" t="n">
        <v>137577000000000</v>
      </c>
      <c r="Q59" s="0" t="n">
        <v>130151000000000</v>
      </c>
      <c r="R59" s="0" t="n">
        <v>34228000000000</v>
      </c>
      <c r="S59" s="0" t="n">
        <v>75266000000000</v>
      </c>
      <c r="T59" s="0" t="n">
        <v>26099000000000</v>
      </c>
      <c r="U59" s="0" t="n">
        <v>61780000000000</v>
      </c>
      <c r="V59" s="0" t="n">
        <v>74303000000000</v>
      </c>
      <c r="W59" s="0" t="n">
        <v>-12523000000000</v>
      </c>
      <c r="X59" s="0" t="n">
        <v>901000000000</v>
      </c>
      <c r="Y59" s="0" t="n">
        <v>11223000000000</v>
      </c>
      <c r="Z59" s="0" t="n">
        <v>16832000000000</v>
      </c>
      <c r="AA59" s="0" t="n">
        <v>122131000000000</v>
      </c>
      <c r="AB59" s="0" t="n">
        <v>180925000000000</v>
      </c>
      <c r="AD59" s="0" t="n">
        <v>-7423000000000</v>
      </c>
      <c r="AE59" s="0" t="n">
        <v>6814000000000</v>
      </c>
      <c r="AF59" s="0" t="s">
        <v>663</v>
      </c>
      <c r="AG59" s="0" t="s">
        <v>664</v>
      </c>
    </row>
    <row r="60" customFormat="false" ht="15" hidden="false" customHeight="false" outlineLevel="0" collapsed="false">
      <c r="A60" s="0" t="s">
        <v>50</v>
      </c>
      <c r="B60" s="0" t="s">
        <v>543</v>
      </c>
      <c r="C60" s="0" t="s">
        <v>450</v>
      </c>
      <c r="D60" s="0" t="n">
        <v>37189000000000</v>
      </c>
      <c r="E60" s="0" t="n">
        <v>12915000000000</v>
      </c>
      <c r="F60" s="0" t="n">
        <v>24274000000000</v>
      </c>
      <c r="G60" s="0" t="n">
        <v>9145000000000</v>
      </c>
      <c r="H60" s="0" t="n">
        <v>9269000000000</v>
      </c>
      <c r="I60" s="0" t="n">
        <v>17967000000000</v>
      </c>
      <c r="J60" s="0" t="n">
        <v>4344000000000</v>
      </c>
      <c r="K60" s="0" t="n">
        <v>8248000000000</v>
      </c>
      <c r="L60" s="0" t="n">
        <v>2194000000000</v>
      </c>
      <c r="M60" s="0" t="n">
        <v>1021000000000</v>
      </c>
      <c r="N60" s="0" t="n">
        <v>98959797679</v>
      </c>
      <c r="O60" s="0" t="n">
        <v>289955000000000</v>
      </c>
      <c r="P60" s="0" t="n">
        <v>134145000000000</v>
      </c>
      <c r="Q60" s="0" t="n">
        <v>134492000000000</v>
      </c>
      <c r="R60" s="0" t="n">
        <v>37549000000000</v>
      </c>
      <c r="S60" s="0" t="n">
        <v>68735000000000</v>
      </c>
      <c r="T60" s="0" t="n">
        <v>24540000000000</v>
      </c>
      <c r="U60" s="0" t="n">
        <v>65928000000000</v>
      </c>
      <c r="V60" s="0" t="n">
        <v>71609000000000</v>
      </c>
      <c r="W60" s="0" t="n">
        <v>-5681000000000</v>
      </c>
      <c r="X60" s="0" t="n">
        <v>842000000000</v>
      </c>
      <c r="Y60" s="0" t="n">
        <v>11684000000000</v>
      </c>
      <c r="Z60" s="0" t="n">
        <v>14806000000000</v>
      </c>
      <c r="AA60" s="0" t="n">
        <v>102198000000000</v>
      </c>
      <c r="AB60" s="0" t="n">
        <v>179951000000000</v>
      </c>
      <c r="AD60" s="0" t="n">
        <v>-5002000000000</v>
      </c>
      <c r="AE60" s="0" t="n">
        <v>12288000000000</v>
      </c>
      <c r="AF60" s="0" t="s">
        <v>665</v>
      </c>
      <c r="AG60" s="0" t="s">
        <v>666</v>
      </c>
    </row>
    <row r="61" customFormat="false" ht="15" hidden="false" customHeight="false" outlineLevel="0" collapsed="false">
      <c r="A61" s="0" t="s">
        <v>50</v>
      </c>
      <c r="B61" s="0" t="s">
        <v>543</v>
      </c>
      <c r="C61" s="0" t="s">
        <v>448</v>
      </c>
      <c r="D61" s="0" t="n">
        <v>38689000000000</v>
      </c>
      <c r="E61" s="0" t="n">
        <v>12347000000000</v>
      </c>
      <c r="F61" s="0" t="n">
        <v>26342000000000</v>
      </c>
      <c r="G61" s="0" t="n">
        <v>11116000000000</v>
      </c>
      <c r="H61" s="0" t="n">
        <v>11608000000000</v>
      </c>
      <c r="I61" s="0" t="n">
        <v>20113000000000</v>
      </c>
      <c r="J61" s="0" t="n">
        <v>6279000000000</v>
      </c>
      <c r="K61" s="0" t="n">
        <v>10550000000000</v>
      </c>
      <c r="L61" s="0" t="n">
        <v>2398000000000</v>
      </c>
      <c r="M61" s="0" t="n">
        <v>1058000000000</v>
      </c>
      <c r="O61" s="0" t="n">
        <v>303087000000000</v>
      </c>
      <c r="P61" s="0" t="n">
        <v>168239000000000</v>
      </c>
      <c r="Q61" s="0" t="n">
        <v>118333000000000</v>
      </c>
      <c r="R61" s="0" t="n">
        <v>54579000000000</v>
      </c>
      <c r="S61" s="0" t="n">
        <v>80885000000000</v>
      </c>
      <c r="T61" s="0" t="n">
        <v>27622000000000</v>
      </c>
      <c r="U61" s="0" t="n">
        <v>80932000000000</v>
      </c>
      <c r="V61" s="0" t="n">
        <v>102358000000000</v>
      </c>
      <c r="W61" s="0" t="n">
        <v>-21426000000000</v>
      </c>
      <c r="X61" s="0" t="n">
        <v>788000000000</v>
      </c>
      <c r="Y61" s="0" t="n">
        <v>11774000000000</v>
      </c>
      <c r="Z61" s="0" t="n">
        <v>13344000000000</v>
      </c>
      <c r="AA61" s="0" t="n">
        <v>86478000000000</v>
      </c>
      <c r="AB61" s="0" t="n">
        <v>175248000000000</v>
      </c>
      <c r="AD61" s="0" t="n">
        <v>-6366000000000</v>
      </c>
      <c r="AE61" s="0" t="n">
        <v>11206000000000</v>
      </c>
      <c r="AF61" s="0" t="s">
        <v>667</v>
      </c>
      <c r="AG61" s="0" t="s">
        <v>668</v>
      </c>
    </row>
    <row r="62" customFormat="false" ht="15" hidden="false" customHeight="false" outlineLevel="0" collapsed="false">
      <c r="A62" s="0" t="s">
        <v>51</v>
      </c>
      <c r="B62" s="0" t="s">
        <v>543</v>
      </c>
      <c r="C62" s="0" t="s">
        <v>544</v>
      </c>
      <c r="D62" s="0" t="n">
        <v>8210336000000</v>
      </c>
      <c r="E62" s="0" t="n">
        <v>4237547000000</v>
      </c>
      <c r="F62" s="0" t="n">
        <v>3972789000000</v>
      </c>
      <c r="G62" s="0" t="n">
        <v>1437577000000</v>
      </c>
      <c r="H62" s="0" t="n">
        <v>1439485000000</v>
      </c>
      <c r="I62" s="0" t="n">
        <v>1480034000000</v>
      </c>
      <c r="J62" s="0" t="n">
        <v>1237379000000</v>
      </c>
      <c r="K62" s="0" t="n">
        <v>1413842000000</v>
      </c>
      <c r="L62" s="0" t="n">
        <v>316188000000</v>
      </c>
      <c r="M62" s="0" t="n">
        <v>25643000000</v>
      </c>
      <c r="N62" s="0" t="n">
        <v>38150000000</v>
      </c>
      <c r="O62" s="0" t="n">
        <v>17809408000000</v>
      </c>
      <c r="P62" s="0" t="n">
        <v>14428961000000</v>
      </c>
      <c r="Q62" s="0" t="n">
        <v>3380447000000</v>
      </c>
      <c r="R62" s="0" t="n">
        <v>1080574000000</v>
      </c>
      <c r="S62" s="0" t="n">
        <v>1425598000000</v>
      </c>
      <c r="U62" s="0" t="n">
        <v>6809267000000</v>
      </c>
      <c r="V62" s="0" t="n">
        <v>12343534000000</v>
      </c>
      <c r="W62" s="0" t="n">
        <v>-5534267000000</v>
      </c>
      <c r="X62" s="0" t="n">
        <v>2809691000000</v>
      </c>
      <c r="Y62" s="0" t="n">
        <v>2567466000000</v>
      </c>
      <c r="Z62" s="0" t="n">
        <v>4878014000000</v>
      </c>
      <c r="AA62" s="0" t="n">
        <v>3192887000000</v>
      </c>
      <c r="AB62" s="0" t="n">
        <v>4280447000000</v>
      </c>
      <c r="AD62" s="0" t="n">
        <v>-126089000000</v>
      </c>
      <c r="AE62" s="0" t="n">
        <v>974618000000</v>
      </c>
      <c r="AF62" s="0" t="s">
        <v>669</v>
      </c>
      <c r="AG62" s="0" t="s">
        <v>670</v>
      </c>
    </row>
    <row r="63" customFormat="false" ht="15" hidden="false" customHeight="false" outlineLevel="0" collapsed="false">
      <c r="A63" s="0" t="s">
        <v>51</v>
      </c>
      <c r="B63" s="0" t="s">
        <v>543</v>
      </c>
      <c r="C63" s="0" t="s">
        <v>547</v>
      </c>
      <c r="D63" s="0" t="n">
        <v>8739528000000</v>
      </c>
      <c r="E63" s="0" t="n">
        <v>4540579000000</v>
      </c>
      <c r="F63" s="0" t="n">
        <v>4198949000000</v>
      </c>
      <c r="G63" s="0" t="n">
        <v>1278515000000</v>
      </c>
      <c r="H63" s="0" t="n">
        <v>1280887000000</v>
      </c>
      <c r="I63" s="0" t="n">
        <v>1374659000000</v>
      </c>
      <c r="J63" s="0" t="n">
        <v>918196000000</v>
      </c>
      <c r="K63" s="0" t="n">
        <v>1232974000000</v>
      </c>
      <c r="L63" s="0" t="n">
        <v>314778000000</v>
      </c>
      <c r="M63" s="0" t="n">
        <v>47913000000</v>
      </c>
      <c r="O63" s="0" t="n">
        <v>18528471000000</v>
      </c>
      <c r="P63" s="0" t="n">
        <v>15956974000000</v>
      </c>
      <c r="Q63" s="0" t="n">
        <v>2571497000000</v>
      </c>
      <c r="R63" s="0" t="n">
        <v>2001709000000</v>
      </c>
      <c r="S63" s="0" t="n">
        <v>1940507000000</v>
      </c>
      <c r="U63" s="0" t="n">
        <v>6991320000000</v>
      </c>
      <c r="V63" s="0" t="n">
        <v>14039957000000</v>
      </c>
      <c r="W63" s="0" t="n">
        <v>-7048637000000</v>
      </c>
      <c r="X63" s="0" t="n">
        <v>2497821000000</v>
      </c>
      <c r="Y63" s="0" t="n">
        <v>2191611000000</v>
      </c>
      <c r="Z63" s="0" t="n">
        <v>4257484000000</v>
      </c>
      <c r="AA63" s="0" t="n">
        <v>2383937000000</v>
      </c>
      <c r="AB63" s="0" t="n">
        <v>3871497000000</v>
      </c>
      <c r="AD63" s="0" t="n">
        <v>-185545000000</v>
      </c>
      <c r="AE63" s="0" t="n">
        <v>525178000000</v>
      </c>
      <c r="AF63" s="0" t="s">
        <v>671</v>
      </c>
      <c r="AG63" s="0" t="s">
        <v>672</v>
      </c>
    </row>
    <row r="64" customFormat="false" ht="15" hidden="false" customHeight="false" outlineLevel="0" collapsed="false">
      <c r="A64" s="0" t="s">
        <v>51</v>
      </c>
      <c r="B64" s="0" t="s">
        <v>543</v>
      </c>
      <c r="C64" s="0" t="s">
        <v>553</v>
      </c>
      <c r="D64" s="0" t="n">
        <v>4330206000000</v>
      </c>
      <c r="E64" s="0" t="n">
        <v>2719022000000</v>
      </c>
      <c r="F64" s="0" t="n">
        <v>1611184000000</v>
      </c>
      <c r="G64" s="0" t="n">
        <v>137311000000</v>
      </c>
      <c r="H64" s="0" t="n">
        <v>154679000000</v>
      </c>
      <c r="I64" s="0" t="n">
        <v>154679000000</v>
      </c>
      <c r="J64" s="0" t="n">
        <v>4305912000000</v>
      </c>
      <c r="K64" s="0" t="n">
        <v>149881000000</v>
      </c>
      <c r="L64" s="0" t="n">
        <v>-52167000000</v>
      </c>
      <c r="M64" s="0" t="n">
        <v>4798000000</v>
      </c>
      <c r="O64" s="0" t="n">
        <v>20017339000000</v>
      </c>
      <c r="P64" s="0" t="n">
        <v>15542221000000</v>
      </c>
      <c r="Q64" s="0" t="n">
        <v>4475118000000</v>
      </c>
      <c r="R64" s="0" t="n">
        <v>5705674000000</v>
      </c>
      <c r="S64" s="0" t="n">
        <v>644841000000</v>
      </c>
      <c r="U64" s="0" t="n">
        <v>10544623000000</v>
      </c>
      <c r="V64" s="0" t="n">
        <v>14222619000000</v>
      </c>
      <c r="W64" s="0" t="n">
        <v>-3677996000000</v>
      </c>
      <c r="X64" s="0" t="n">
        <v>2453106000000</v>
      </c>
      <c r="Y64" s="0" t="n">
        <v>1677683000000</v>
      </c>
      <c r="Z64" s="0" t="n">
        <v>4695329000000</v>
      </c>
      <c r="AA64" s="0" t="n">
        <v>4572603000000</v>
      </c>
      <c r="AB64" s="0" t="n">
        <v>4475118000000</v>
      </c>
      <c r="AD64" s="0" t="n">
        <v>-477145000000</v>
      </c>
      <c r="AE64" s="0" t="n">
        <v>2112548000000</v>
      </c>
      <c r="AF64" s="0" t="s">
        <v>673</v>
      </c>
      <c r="AG64" s="0" t="s">
        <v>674</v>
      </c>
    </row>
    <row r="65" customFormat="false" ht="15" hidden="false" customHeight="false" outlineLevel="0" collapsed="false">
      <c r="A65" s="0" t="s">
        <v>51</v>
      </c>
      <c r="B65" s="0" t="s">
        <v>543</v>
      </c>
      <c r="C65" s="0" t="s">
        <v>450</v>
      </c>
      <c r="D65" s="0" t="n">
        <v>8442646000000</v>
      </c>
      <c r="E65" s="0" t="n">
        <v>4372879000000</v>
      </c>
      <c r="F65" s="0" t="n">
        <v>4069767000000</v>
      </c>
      <c r="G65" s="0" t="n">
        <v>1567379000000</v>
      </c>
      <c r="H65" s="0" t="n">
        <v>1605283000000</v>
      </c>
      <c r="I65" s="0" t="n">
        <v>1649306000000</v>
      </c>
      <c r="J65" s="0" t="n">
        <v>2140628000000</v>
      </c>
      <c r="K65" s="0" t="n">
        <v>1594533000000</v>
      </c>
      <c r="L65" s="0" t="n">
        <v>341760000000</v>
      </c>
      <c r="M65" s="0" t="n">
        <v>10750000000</v>
      </c>
      <c r="N65" s="0" t="n">
        <v>37981000000</v>
      </c>
      <c r="O65" s="0" t="n">
        <v>20013983000000</v>
      </c>
      <c r="P65" s="0" t="n">
        <v>13454042000000</v>
      </c>
      <c r="Q65" s="0" t="n">
        <v>6559941000000</v>
      </c>
      <c r="R65" s="0" t="n">
        <v>5401521000000</v>
      </c>
      <c r="S65" s="0" t="n">
        <v>592174000000</v>
      </c>
      <c r="U65" s="0" t="n">
        <v>10573765000000</v>
      </c>
      <c r="V65" s="0" t="n">
        <v>12152612000000</v>
      </c>
      <c r="W65" s="0" t="n">
        <v>-1578847000000</v>
      </c>
      <c r="X65" s="0" t="n">
        <v>2282753000000</v>
      </c>
      <c r="Y65" s="0" t="n">
        <v>2099060000000</v>
      </c>
      <c r="Z65" s="0" t="n">
        <v>5283433000000</v>
      </c>
      <c r="AA65" s="0" t="n">
        <v>6657426000000</v>
      </c>
      <c r="AB65" s="0" t="n">
        <v>6559941000000</v>
      </c>
      <c r="AD65" s="0" t="n">
        <v>-263562000000</v>
      </c>
      <c r="AE65" s="0" t="n">
        <v>-1017062000000</v>
      </c>
      <c r="AF65" s="0" t="s">
        <v>675</v>
      </c>
      <c r="AG65" s="0" t="s">
        <v>676</v>
      </c>
    </row>
    <row r="66" customFormat="false" ht="15" hidden="false" customHeight="false" outlineLevel="0" collapsed="false">
      <c r="A66" s="0" t="s">
        <v>51</v>
      </c>
      <c r="B66" s="0" t="s">
        <v>543</v>
      </c>
      <c r="C66" s="0" t="s">
        <v>448</v>
      </c>
      <c r="D66" s="0" t="n">
        <v>8456935000000</v>
      </c>
      <c r="E66" s="0" t="n">
        <v>4652055000000</v>
      </c>
      <c r="F66" s="0" t="n">
        <v>3804880000000</v>
      </c>
      <c r="G66" s="0" t="n">
        <v>1020658000000</v>
      </c>
      <c r="H66" s="0" t="n">
        <v>1057307000000</v>
      </c>
      <c r="I66" s="0" t="n">
        <v>1109646000000</v>
      </c>
      <c r="J66" s="0" t="n">
        <v>829096000000</v>
      </c>
      <c r="K66" s="0" t="n">
        <v>1053421000000</v>
      </c>
      <c r="L66" s="0" t="n">
        <v>224325000000</v>
      </c>
      <c r="M66" s="0" t="n">
        <v>3886000000</v>
      </c>
      <c r="O66" s="0" t="n">
        <v>16454946000000</v>
      </c>
      <c r="P66" s="0" t="n">
        <v>13432111000000</v>
      </c>
      <c r="Q66" s="0" t="n">
        <v>3022835000000</v>
      </c>
      <c r="R66" s="0" t="n">
        <v>1736727000000</v>
      </c>
      <c r="S66" s="0" t="n">
        <v>547203000000</v>
      </c>
      <c r="U66" s="0" t="n">
        <v>6863797000000</v>
      </c>
      <c r="V66" s="0" t="n">
        <v>12012195000000</v>
      </c>
      <c r="W66" s="0" t="n">
        <v>-5148398000000</v>
      </c>
      <c r="X66" s="0" t="n">
        <v>2304103000000</v>
      </c>
      <c r="Y66" s="0" t="n">
        <v>2140318000000</v>
      </c>
      <c r="Z66" s="0" t="n">
        <v>5595859000000</v>
      </c>
      <c r="AA66" s="0" t="n">
        <v>3120320000000</v>
      </c>
      <c r="AB66" s="0" t="n">
        <v>3022835000000</v>
      </c>
      <c r="AD66" s="0" t="n">
        <v>-270112000000</v>
      </c>
      <c r="AE66" s="0" t="n">
        <v>977519000000</v>
      </c>
      <c r="AF66" s="0" t="s">
        <v>677</v>
      </c>
      <c r="AG66" s="0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10" min="8" style="0" width="11"/>
    <col collapsed="false" customWidth="true" hidden="false" outlineLevel="0" max="12" min="11" style="0" width="14"/>
    <col collapsed="false" customWidth="true" hidden="false" outlineLevel="0" max="13" min="13" style="0" width="17"/>
    <col collapsed="false" customWidth="true" hidden="false" outlineLevel="0" max="14" min="14" style="0" width="22"/>
    <col collapsed="false" customWidth="true" hidden="false" outlineLevel="0" max="15" min="15" style="0" width="13"/>
    <col collapsed="false" customWidth="true" hidden="false" outlineLevel="0" max="16" min="16" style="0" width="34"/>
    <col collapsed="false" customWidth="true" hidden="false" outlineLevel="0" max="17" min="17" style="0" width="20"/>
    <col collapsed="false" customWidth="true" hidden="false" outlineLevel="0" max="18" min="18" style="0" width="24"/>
    <col collapsed="false" customWidth="true" hidden="false" outlineLevel="0" max="19" min="19" style="0" width="11"/>
    <col collapsed="false" customWidth="true" hidden="false" outlineLevel="0" max="20" min="20" style="0" width="14"/>
    <col collapsed="false" customWidth="true" hidden="false" outlineLevel="0" max="21" min="21" style="0" width="15"/>
    <col collapsed="false" customWidth="true" hidden="false" outlineLevel="0" max="22" min="22" style="0" width="20"/>
    <col collapsed="false" customWidth="true" hidden="false" outlineLevel="0" max="23" min="23" style="0" width="16"/>
    <col collapsed="false" customWidth="true" hidden="false" outlineLevel="0" max="24" min="24" style="0" width="11"/>
    <col collapsed="false" customWidth="true" hidden="false" outlineLevel="0" max="25" min="25" style="0" width="20"/>
    <col collapsed="false" customWidth="true" hidden="false" outlineLevel="0" max="26" min="26" style="0" width="17"/>
    <col collapsed="false" customWidth="true" hidden="false" outlineLevel="0" max="27" min="27" style="0" width="18"/>
    <col collapsed="false" customWidth="true" hidden="false" outlineLevel="0" max="28" min="28" style="0" width="17"/>
    <col collapsed="false" customWidth="true" hidden="false" outlineLevel="0" max="29" min="29" style="0" width="19"/>
    <col collapsed="false" customWidth="true" hidden="false" outlineLevel="0" max="30" min="30" style="0" width="20"/>
    <col collapsed="false" customWidth="true" hidden="false" outlineLevel="0" max="31" min="31" style="0" width="14"/>
    <col collapsed="false" customWidth="true" hidden="false" outlineLevel="0" max="33" min="32" style="0" width="25"/>
  </cols>
  <sheetData>
    <row r="1" customFormat="false" ht="15" hidden="false" customHeight="false" outlineLevel="0" collapsed="false">
      <c r="A1" s="52" t="s">
        <v>27</v>
      </c>
      <c r="B1" s="52" t="s">
        <v>512</v>
      </c>
      <c r="C1" s="52" t="s">
        <v>513</v>
      </c>
      <c r="D1" s="52" t="s">
        <v>514</v>
      </c>
      <c r="E1" s="52" t="s">
        <v>515</v>
      </c>
      <c r="F1" s="52" t="s">
        <v>516</v>
      </c>
      <c r="G1" s="52" t="s">
        <v>517</v>
      </c>
      <c r="H1" s="52" t="s">
        <v>172</v>
      </c>
      <c r="I1" s="52" t="s">
        <v>518</v>
      </c>
      <c r="J1" s="52" t="s">
        <v>519</v>
      </c>
      <c r="K1" s="52" t="s">
        <v>520</v>
      </c>
      <c r="L1" s="52" t="s">
        <v>521</v>
      </c>
      <c r="M1" s="52" t="s">
        <v>522</v>
      </c>
      <c r="N1" s="52" t="s">
        <v>523</v>
      </c>
      <c r="O1" s="52" t="s">
        <v>524</v>
      </c>
      <c r="P1" s="52" t="s">
        <v>525</v>
      </c>
      <c r="Q1" s="52" t="s">
        <v>526</v>
      </c>
      <c r="R1" s="52" t="s">
        <v>527</v>
      </c>
      <c r="S1" s="52" t="s">
        <v>528</v>
      </c>
      <c r="T1" s="52" t="s">
        <v>529</v>
      </c>
      <c r="U1" s="52" t="s">
        <v>530</v>
      </c>
      <c r="V1" s="52" t="s">
        <v>531</v>
      </c>
      <c r="W1" s="52" t="s">
        <v>532</v>
      </c>
      <c r="X1" s="52" t="s">
        <v>533</v>
      </c>
      <c r="Y1" s="52" t="s">
        <v>534</v>
      </c>
      <c r="Z1" s="52" t="s">
        <v>535</v>
      </c>
      <c r="AA1" s="52" t="s">
        <v>536</v>
      </c>
      <c r="AB1" s="52" t="s">
        <v>537</v>
      </c>
      <c r="AC1" s="52" t="s">
        <v>538</v>
      </c>
      <c r="AD1" s="52" t="s">
        <v>539</v>
      </c>
      <c r="AE1" s="52" t="s">
        <v>540</v>
      </c>
      <c r="AF1" s="52" t="s">
        <v>541</v>
      </c>
      <c r="AG1" s="52" t="s">
        <v>542</v>
      </c>
    </row>
    <row r="2" customFormat="false" ht="15" hidden="false" customHeight="false" outlineLevel="0" collapsed="false">
      <c r="A2" s="0" t="s">
        <v>44</v>
      </c>
      <c r="B2" s="0" t="s">
        <v>447</v>
      </c>
      <c r="C2" s="0" t="s">
        <v>679</v>
      </c>
      <c r="D2" s="0" t="n">
        <v>21828591000000</v>
      </c>
      <c r="E2" s="0" t="n">
        <v>18006474000000</v>
      </c>
      <c r="F2" s="0" t="n">
        <v>3822117000000</v>
      </c>
      <c r="G2" s="0" t="n">
        <v>2613301000000</v>
      </c>
      <c r="H2" s="0" t="n">
        <v>2777558000000</v>
      </c>
      <c r="I2" s="0" t="n">
        <v>2934175000000</v>
      </c>
      <c r="J2" s="0" t="n">
        <v>1726607000000</v>
      </c>
      <c r="K2" s="0" t="n">
        <v>2429178000000</v>
      </c>
      <c r="L2" s="0" t="n">
        <v>637128000000</v>
      </c>
      <c r="M2" s="0" t="n">
        <v>348380000000</v>
      </c>
      <c r="N2" s="0" t="n">
        <v>1924688333</v>
      </c>
      <c r="O2" s="0" t="n">
        <v>29249340000000</v>
      </c>
      <c r="P2" s="0" t="n">
        <v>7006119000000</v>
      </c>
      <c r="Q2" s="0" t="n">
        <v>21684037000000</v>
      </c>
      <c r="R2" s="0" t="n">
        <v>1619616000000</v>
      </c>
      <c r="S2" s="0" t="n">
        <v>4053767000000</v>
      </c>
      <c r="T2" s="0" t="n">
        <v>4048767000000</v>
      </c>
      <c r="U2" s="0" t="n">
        <v>7390608000000</v>
      </c>
      <c r="V2" s="0" t="n">
        <v>2052939000000</v>
      </c>
      <c r="W2" s="0" t="n">
        <v>5337669000000</v>
      </c>
      <c r="X2" s="0" t="n">
        <v>3395206000000</v>
      </c>
      <c r="Y2" s="0" t="n">
        <v>848770000000</v>
      </c>
      <c r="Z2" s="0" t="n">
        <v>1224423000000</v>
      </c>
      <c r="AA2" s="0" t="n">
        <v>16727788000000</v>
      </c>
      <c r="AB2" s="0" t="n">
        <v>25737804000000</v>
      </c>
      <c r="AD2" s="0" t="n">
        <v>-1379444000000</v>
      </c>
      <c r="AE2" s="0" t="n">
        <v>455953000000</v>
      </c>
      <c r="AF2" s="0" t="s">
        <v>680</v>
      </c>
      <c r="AG2" s="0" t="s">
        <v>552</v>
      </c>
    </row>
    <row r="3" customFormat="false" ht="15" hidden="false" customHeight="false" outlineLevel="0" collapsed="false">
      <c r="A3" s="0" t="s">
        <v>44</v>
      </c>
      <c r="B3" s="0" t="s">
        <v>447</v>
      </c>
      <c r="C3" s="0" t="s">
        <v>681</v>
      </c>
      <c r="D3" s="0" t="n">
        <v>20745473000000</v>
      </c>
      <c r="E3" s="0" t="n">
        <v>17974493000000</v>
      </c>
      <c r="F3" s="0" t="n">
        <v>2770980000000</v>
      </c>
      <c r="G3" s="0" t="n">
        <v>1556354000000</v>
      </c>
      <c r="H3" s="0" t="n">
        <v>1753833000000</v>
      </c>
      <c r="I3" s="0" t="n">
        <v>1919708000000</v>
      </c>
      <c r="J3" s="0" t="n">
        <v>1055897000000</v>
      </c>
      <c r="K3" s="0" t="n">
        <v>1498402000000</v>
      </c>
      <c r="L3" s="0" t="n">
        <v>410232000000</v>
      </c>
      <c r="M3" s="0" t="n">
        <v>255431000000</v>
      </c>
      <c r="N3" s="0" t="n">
        <v>1924688333</v>
      </c>
      <c r="O3" s="0" t="n">
        <v>28846243000000</v>
      </c>
      <c r="P3" s="0" t="n">
        <v>6280237000000</v>
      </c>
      <c r="Q3" s="0" t="n">
        <v>22016045000000</v>
      </c>
      <c r="R3" s="0" t="n">
        <v>2089508000000</v>
      </c>
      <c r="S3" s="0" t="n">
        <v>4005052000000</v>
      </c>
      <c r="T3" s="0" t="n">
        <v>1689754000000</v>
      </c>
      <c r="U3" s="0" t="n">
        <v>7118202000000</v>
      </c>
      <c r="V3" s="0" t="n">
        <v>3882141000000</v>
      </c>
      <c r="W3" s="0" t="n">
        <v>3236061000000</v>
      </c>
      <c r="X3" s="0" t="n">
        <v>3021550000000</v>
      </c>
      <c r="Y3" s="0" t="n">
        <v>674487000000</v>
      </c>
      <c r="Z3" s="0" t="n">
        <v>842064000000</v>
      </c>
      <c r="AA3" s="0" t="n">
        <v>17026742000000</v>
      </c>
      <c r="AB3" s="0" t="n">
        <v>26021097000000</v>
      </c>
      <c r="AD3" s="0" t="n">
        <v>-1236337000000</v>
      </c>
      <c r="AE3" s="0" t="n">
        <v>1302401000000</v>
      </c>
      <c r="AF3" s="0" t="s">
        <v>682</v>
      </c>
      <c r="AG3" s="0" t="s">
        <v>555</v>
      </c>
    </row>
    <row r="4" customFormat="false" ht="15" hidden="false" customHeight="false" outlineLevel="0" collapsed="false">
      <c r="A4" s="0" t="s">
        <v>44</v>
      </c>
      <c r="B4" s="0" t="s">
        <v>447</v>
      </c>
      <c r="C4" s="0" t="s">
        <v>560</v>
      </c>
      <c r="D4" s="0" t="n">
        <v>21815035000000</v>
      </c>
      <c r="E4" s="0" t="n">
        <v>18474414000000</v>
      </c>
      <c r="F4" s="0" t="n">
        <v>3340621000000</v>
      </c>
      <c r="G4" s="0" t="n">
        <v>1932953000000</v>
      </c>
      <c r="H4" s="0" t="n">
        <v>1961859000000</v>
      </c>
      <c r="I4" s="0" t="n">
        <v>2127461000000</v>
      </c>
      <c r="J4" s="0" t="n">
        <v>1147547000000</v>
      </c>
      <c r="K4" s="0" t="n">
        <v>1707128000000</v>
      </c>
      <c r="L4" s="0" t="n">
        <v>520345000000</v>
      </c>
      <c r="M4" s="0" t="n">
        <v>254731000000</v>
      </c>
      <c r="N4" s="0" t="n">
        <v>1924688333</v>
      </c>
      <c r="O4" s="0" t="n">
        <v>28793225000000</v>
      </c>
      <c r="P4" s="0" t="n">
        <v>5591163000000</v>
      </c>
      <c r="Q4" s="0" t="n">
        <v>22641918000000</v>
      </c>
      <c r="R4" s="0" t="n">
        <v>3236012000000</v>
      </c>
      <c r="S4" s="0" t="n">
        <v>3189537000000</v>
      </c>
      <c r="T4" s="0" t="n">
        <v>1500000000000</v>
      </c>
      <c r="U4" s="0" t="n">
        <v>8433638000000</v>
      </c>
      <c r="V4" s="0" t="n">
        <v>3237653000000</v>
      </c>
      <c r="W4" s="0" t="n">
        <v>5195985000000</v>
      </c>
      <c r="X4" s="0" t="n">
        <v>3960906000000</v>
      </c>
      <c r="Y4" s="0" t="n">
        <v>370613000000</v>
      </c>
      <c r="Z4" s="0" t="n">
        <v>711443000000</v>
      </c>
      <c r="AA4" s="0" t="n">
        <v>17641523000000</v>
      </c>
      <c r="AB4" s="0" t="n">
        <v>25831455000000</v>
      </c>
      <c r="AD4" s="0" t="n">
        <v>-940603000000</v>
      </c>
      <c r="AE4" s="0" t="n">
        <v>2438592000000</v>
      </c>
      <c r="AF4" s="0" t="s">
        <v>683</v>
      </c>
      <c r="AG4" s="0" t="s">
        <v>557</v>
      </c>
    </row>
    <row r="5" customFormat="false" ht="15" hidden="false" customHeight="false" outlineLevel="0" collapsed="false">
      <c r="A5" s="0" t="s">
        <v>44</v>
      </c>
      <c r="B5" s="0" t="s">
        <v>447</v>
      </c>
      <c r="C5" s="0" t="s">
        <v>553</v>
      </c>
      <c r="D5" s="0" t="n">
        <v>28654648000000</v>
      </c>
      <c r="E5" s="0" t="n">
        <v>24023219000000</v>
      </c>
      <c r="F5" s="0" t="n">
        <v>4631429000000</v>
      </c>
      <c r="G5" s="0" t="n">
        <v>2599772000000</v>
      </c>
      <c r="H5" s="0" t="n">
        <v>2364315000000</v>
      </c>
      <c r="I5" s="0" t="n">
        <v>2531854000000</v>
      </c>
      <c r="J5" s="0" t="n">
        <v>1471714000000</v>
      </c>
      <c r="K5" s="0" t="n">
        <v>2226728000000</v>
      </c>
      <c r="L5" s="0" t="n">
        <v>689097000000</v>
      </c>
      <c r="M5" s="0" t="n">
        <v>137587000000</v>
      </c>
      <c r="N5" s="0" t="n">
        <v>1924688333</v>
      </c>
      <c r="O5" s="0" t="n">
        <v>27047104000000</v>
      </c>
      <c r="P5" s="0" t="n">
        <v>2889470000000</v>
      </c>
      <c r="Q5" s="0" t="n">
        <v>23556137000000</v>
      </c>
      <c r="R5" s="0" t="n">
        <v>2755715000000</v>
      </c>
      <c r="S5" s="0" t="n">
        <v>0</v>
      </c>
      <c r="T5" s="0" t="n">
        <v>0</v>
      </c>
      <c r="U5" s="0" t="n">
        <v>8662790000000</v>
      </c>
      <c r="V5" s="0" t="n">
        <v>2000352000000</v>
      </c>
      <c r="W5" s="0" t="n">
        <v>6662438000000</v>
      </c>
      <c r="X5" s="0" t="n">
        <v>3518626000000</v>
      </c>
      <c r="Y5" s="0" t="n">
        <v>1206608000000</v>
      </c>
      <c r="Z5" s="0" t="n">
        <v>911323000000</v>
      </c>
      <c r="AA5" s="0" t="n">
        <v>18555742000000</v>
      </c>
      <c r="AB5" s="0" t="n">
        <v>23556137000000</v>
      </c>
      <c r="AD5" s="0" t="n">
        <v>-781980000000</v>
      </c>
      <c r="AE5" s="0" t="n">
        <v>3428610000000</v>
      </c>
      <c r="AF5" s="0" t="s">
        <v>554</v>
      </c>
      <c r="AG5" s="0" t="s">
        <v>559</v>
      </c>
    </row>
    <row r="6" customFormat="false" ht="15" hidden="false" customHeight="false" outlineLevel="0" collapsed="false">
      <c r="A6" s="0" t="s">
        <v>79</v>
      </c>
      <c r="B6" s="0" t="s">
        <v>447</v>
      </c>
      <c r="C6" s="0" t="s">
        <v>679</v>
      </c>
      <c r="D6" s="0" t="n">
        <v>170217448535</v>
      </c>
      <c r="E6" s="0" t="n">
        <v>98347371220</v>
      </c>
      <c r="F6" s="0" t="n">
        <v>71870077315</v>
      </c>
      <c r="G6" s="0" t="n">
        <v>-23912912920</v>
      </c>
      <c r="H6" s="0" t="n">
        <v>-23263855451</v>
      </c>
      <c r="I6" s="0" t="n">
        <v>-12225369955</v>
      </c>
      <c r="J6" s="0" t="n">
        <v>-22020087187</v>
      </c>
      <c r="K6" s="0" t="n">
        <v>-27433033177</v>
      </c>
      <c r="L6" s="0" t="n">
        <v>3534309461</v>
      </c>
      <c r="M6" s="0" t="n">
        <v>4169177726</v>
      </c>
      <c r="N6" s="0" t="n">
        <v>3935892857</v>
      </c>
      <c r="O6" s="0" t="n">
        <v>388884533390</v>
      </c>
      <c r="P6" s="0" t="n">
        <v>359466191290</v>
      </c>
      <c r="Q6" s="0" t="n">
        <v>145686065110</v>
      </c>
      <c r="R6" s="0" t="n">
        <v>74448866438</v>
      </c>
      <c r="S6" s="0" t="n">
        <v>104518833297</v>
      </c>
      <c r="T6" s="0" t="n">
        <v>31560719673</v>
      </c>
      <c r="U6" s="0" t="n">
        <v>185904486754</v>
      </c>
      <c r="V6" s="0" t="n">
        <v>172705554621</v>
      </c>
      <c r="W6" s="0" t="n">
        <v>13198932133</v>
      </c>
      <c r="X6" s="0" t="n">
        <v>4283886303</v>
      </c>
      <c r="Y6" s="0" t="n">
        <v>37902199334</v>
      </c>
      <c r="Z6" s="0" t="n">
        <v>55704891068</v>
      </c>
      <c r="AA6" s="0" t="n">
        <v>-287782244254</v>
      </c>
      <c r="AB6" s="0" t="n">
        <v>244105976205</v>
      </c>
      <c r="AD6" s="0" t="n">
        <v>-6761328030</v>
      </c>
      <c r="AE6" s="0" t="n">
        <v>-102962631976</v>
      </c>
      <c r="AF6" s="0" t="s">
        <v>684</v>
      </c>
      <c r="AG6" s="0" t="s">
        <v>566</v>
      </c>
    </row>
    <row r="7" customFormat="false" ht="15" hidden="false" customHeight="false" outlineLevel="0" collapsed="false">
      <c r="A7" s="0" t="s">
        <v>79</v>
      </c>
      <c r="B7" s="0" t="s">
        <v>447</v>
      </c>
      <c r="C7" s="0" t="s">
        <v>681</v>
      </c>
      <c r="D7" s="0" t="n">
        <v>200775734875</v>
      </c>
      <c r="E7" s="0" t="n">
        <v>141571457934</v>
      </c>
      <c r="F7" s="0" t="n">
        <v>59204276941</v>
      </c>
      <c r="G7" s="0" t="n">
        <v>-45952455899</v>
      </c>
      <c r="H7" s="0" t="n">
        <v>-41804099764</v>
      </c>
      <c r="I7" s="0" t="n">
        <v>-33069673551</v>
      </c>
      <c r="J7" s="0" t="n">
        <v>-43705035627</v>
      </c>
      <c r="K7" s="0" t="n">
        <v>-45731804391</v>
      </c>
      <c r="L7" s="0" t="n">
        <v>6678800551</v>
      </c>
      <c r="M7" s="0" t="n">
        <v>3927704627</v>
      </c>
      <c r="N7" s="0" t="n">
        <v>3935892857</v>
      </c>
      <c r="O7" s="0" t="n">
        <v>271136485860</v>
      </c>
      <c r="P7" s="0" t="n">
        <v>376928581607</v>
      </c>
      <c r="Q7" s="0" t="n">
        <v>19309431294</v>
      </c>
      <c r="R7" s="0" t="n">
        <v>31456534546</v>
      </c>
      <c r="S7" s="0" t="n">
        <v>101236576763</v>
      </c>
      <c r="T7" s="0" t="n">
        <v>43909499</v>
      </c>
      <c r="U7" s="0" t="n">
        <v>125961808262</v>
      </c>
      <c r="V7" s="0" t="n">
        <v>228553719241</v>
      </c>
      <c r="W7" s="0" t="n">
        <v>-102591910979</v>
      </c>
      <c r="X7" s="0" t="n">
        <v>4507335825</v>
      </c>
      <c r="Y7" s="0" t="n">
        <v>49497153668</v>
      </c>
      <c r="Z7" s="0" t="n">
        <v>55958822573</v>
      </c>
      <c r="AA7" s="0" t="n">
        <v>-347076181844</v>
      </c>
      <c r="AB7" s="0" t="n">
        <v>117045864433</v>
      </c>
      <c r="AD7" s="0" t="n">
        <v>-2824194920</v>
      </c>
      <c r="AE7" s="0" t="n">
        <v>-61385847517</v>
      </c>
      <c r="AF7" s="0" t="s">
        <v>685</v>
      </c>
      <c r="AG7" s="0" t="s">
        <v>568</v>
      </c>
    </row>
    <row r="8" customFormat="false" ht="15" hidden="false" customHeight="false" outlineLevel="0" collapsed="false">
      <c r="A8" s="0" t="s">
        <v>79</v>
      </c>
      <c r="B8" s="0" t="s">
        <v>447</v>
      </c>
      <c r="C8" s="0" t="s">
        <v>560</v>
      </c>
      <c r="D8" s="0" t="n">
        <v>208646955109</v>
      </c>
      <c r="E8" s="0" t="n">
        <v>132244859480</v>
      </c>
      <c r="F8" s="0" t="n">
        <v>76402095629</v>
      </c>
      <c r="G8" s="0" t="n">
        <v>-1961115793</v>
      </c>
      <c r="H8" s="0" t="n">
        <v>16343608151</v>
      </c>
      <c r="I8" s="0" t="n">
        <v>23079892178</v>
      </c>
      <c r="J8" s="0" t="n">
        <v>7507435097</v>
      </c>
      <c r="K8" s="0" t="n">
        <v>12817269159</v>
      </c>
      <c r="L8" s="0" t="n">
        <v>7237331833</v>
      </c>
      <c r="M8" s="0" t="n">
        <v>3526338992</v>
      </c>
      <c r="N8" s="0" t="n">
        <v>3935892857</v>
      </c>
      <c r="O8" s="0" t="n">
        <v>242927394937</v>
      </c>
      <c r="P8" s="0" t="n">
        <v>356643915558</v>
      </c>
      <c r="Q8" s="0" t="n">
        <v>16238761795</v>
      </c>
      <c r="R8" s="0" t="n">
        <v>21966209077</v>
      </c>
      <c r="S8" s="0" t="n">
        <v>104955357173</v>
      </c>
      <c r="T8" s="0" t="n">
        <v>0</v>
      </c>
      <c r="U8" s="0" t="n">
        <v>123227664447</v>
      </c>
      <c r="V8" s="0" t="n">
        <v>209685291106</v>
      </c>
      <c r="W8" s="0" t="n">
        <v>-86457626659</v>
      </c>
      <c r="X8" s="0" t="n">
        <v>2080447846</v>
      </c>
      <c r="Y8" s="0" t="n">
        <v>61841428852</v>
      </c>
      <c r="Z8" s="0" t="n">
        <v>49434008137</v>
      </c>
      <c r="AA8" s="0" t="n">
        <v>-349940303357</v>
      </c>
      <c r="AB8" s="0" t="n">
        <v>117798385920</v>
      </c>
      <c r="AD8" s="0" t="n">
        <v>-1405384807</v>
      </c>
      <c r="AE8" s="0" t="n">
        <v>-34399493403</v>
      </c>
      <c r="AF8" s="0" t="s">
        <v>561</v>
      </c>
      <c r="AG8" s="0" t="s">
        <v>570</v>
      </c>
    </row>
    <row r="9" customFormat="false" ht="15" hidden="false" customHeight="false" outlineLevel="0" collapsed="false">
      <c r="A9" s="0" t="s">
        <v>79</v>
      </c>
      <c r="B9" s="0" t="s">
        <v>447</v>
      </c>
      <c r="C9" s="0" t="s">
        <v>553</v>
      </c>
      <c r="D9" s="0" t="n">
        <v>184444403229</v>
      </c>
      <c r="E9" s="0" t="n">
        <v>126198407568</v>
      </c>
      <c r="F9" s="0" t="n">
        <v>58245995661</v>
      </c>
      <c r="G9" s="0" t="n">
        <v>-15199170518</v>
      </c>
      <c r="H9" s="0" t="n">
        <v>-19729303532</v>
      </c>
      <c r="I9" s="0" t="n">
        <v>-13114994605</v>
      </c>
      <c r="J9" s="0" t="n">
        <v>-23641847378</v>
      </c>
      <c r="K9" s="0" t="n">
        <v>-23137776329</v>
      </c>
      <c r="L9" s="0" t="n">
        <v>2539419111</v>
      </c>
      <c r="M9" s="0" t="n">
        <v>3408472797</v>
      </c>
      <c r="N9" s="0" t="n">
        <v>3935892857</v>
      </c>
      <c r="O9" s="0" t="n">
        <v>250182456540</v>
      </c>
      <c r="P9" s="0" t="n">
        <v>350020715165</v>
      </c>
      <c r="Q9" s="0" t="n">
        <v>32189845625</v>
      </c>
      <c r="R9" s="0" t="n">
        <v>20713731072</v>
      </c>
      <c r="S9" s="0" t="n">
        <v>101836730176</v>
      </c>
      <c r="T9" s="0" t="n">
        <v>84187239</v>
      </c>
      <c r="U9" s="0" t="n">
        <v>101874505096</v>
      </c>
      <c r="V9" s="0" t="n">
        <v>204968466452</v>
      </c>
      <c r="W9" s="0" t="n">
        <v>-103093961356</v>
      </c>
      <c r="X9" s="0" t="n">
        <v>1724612843</v>
      </c>
      <c r="Y9" s="0" t="n">
        <v>44078740902</v>
      </c>
      <c r="Z9" s="0" t="n">
        <v>52971335166</v>
      </c>
      <c r="AA9" s="0" t="n">
        <v>-371867278016</v>
      </c>
      <c r="AB9" s="0" t="n">
        <v>131372116689</v>
      </c>
      <c r="AD9" s="0" t="n">
        <v>-946363857</v>
      </c>
      <c r="AE9" s="0" t="n">
        <v>1847421804</v>
      </c>
      <c r="AF9" s="0" t="s">
        <v>569</v>
      </c>
      <c r="AG9" s="0" t="s">
        <v>572</v>
      </c>
    </row>
    <row r="10" customFormat="false" ht="15" hidden="false" customHeight="false" outlineLevel="0" collapsed="false">
      <c r="A10" s="0" t="s">
        <v>47</v>
      </c>
      <c r="B10" s="0" t="s">
        <v>447</v>
      </c>
      <c r="C10" s="0" t="s">
        <v>679</v>
      </c>
      <c r="D10" s="0" t="n">
        <v>145097761292000</v>
      </c>
      <c r="E10" s="0" t="n">
        <v>61772338716000</v>
      </c>
      <c r="F10" s="0" t="n">
        <v>83325422576000</v>
      </c>
      <c r="G10" s="0" t="n">
        <v>76592480184000</v>
      </c>
      <c r="H10" s="0" t="n">
        <v>81498645404000</v>
      </c>
      <c r="I10" s="0" t="n">
        <v>81621261480000</v>
      </c>
      <c r="J10" s="0" t="n">
        <v>44646076640000</v>
      </c>
      <c r="K10" s="0" t="n">
        <v>80160129852000</v>
      </c>
      <c r="L10" s="0" t="n">
        <v>29460379168000</v>
      </c>
      <c r="M10" s="0" t="n">
        <v>1338515552000</v>
      </c>
      <c r="N10" s="0" t="n">
        <v>31037420000</v>
      </c>
      <c r="O10" s="0" t="n">
        <v>193089553756000</v>
      </c>
      <c r="P10" s="0" t="n">
        <v>76197984852000</v>
      </c>
      <c r="Q10" s="0" t="n">
        <v>107888536800000</v>
      </c>
      <c r="R10" s="0" t="n">
        <v>72838247064000</v>
      </c>
      <c r="S10" s="0" t="n">
        <v>28342006660000</v>
      </c>
      <c r="T10" s="0" t="n">
        <v>24570671400000</v>
      </c>
      <c r="U10" s="0" t="n">
        <v>95258185572000</v>
      </c>
      <c r="V10" s="0" t="n">
        <v>43830044896000</v>
      </c>
      <c r="W10" s="0" t="n">
        <v>51428140676000</v>
      </c>
      <c r="X10" s="0" t="n">
        <v>3567273600000</v>
      </c>
      <c r="Y10" s="0" t="n">
        <v>11589215924000</v>
      </c>
      <c r="Z10" s="0" t="n">
        <v>5967160496000</v>
      </c>
      <c r="AA10" s="0" t="n">
        <v>79025586420000</v>
      </c>
      <c r="AB10" s="0" t="n">
        <v>135019067260000</v>
      </c>
      <c r="AD10" s="0" t="n">
        <v>-7227829972000</v>
      </c>
      <c r="AE10" s="0" t="n">
        <v>61973230660000</v>
      </c>
      <c r="AF10" s="0" t="s">
        <v>686</v>
      </c>
      <c r="AG10" s="0" t="s">
        <v>578</v>
      </c>
    </row>
    <row r="11" customFormat="false" ht="15" hidden="false" customHeight="false" outlineLevel="0" collapsed="false">
      <c r="A11" s="0" t="s">
        <v>47</v>
      </c>
      <c r="B11" s="0" t="s">
        <v>447</v>
      </c>
      <c r="C11" s="0" t="s">
        <v>681</v>
      </c>
      <c r="D11" s="0" t="n">
        <v>38240958096000</v>
      </c>
      <c r="E11" s="0" t="n">
        <v>22702526748000</v>
      </c>
      <c r="F11" s="0" t="n">
        <v>15538431348000</v>
      </c>
      <c r="G11" s="0" t="n">
        <v>13856064288000</v>
      </c>
      <c r="H11" s="0" t="n">
        <v>15734810476000</v>
      </c>
      <c r="I11" s="0" t="n">
        <v>15822434320000</v>
      </c>
      <c r="J11" s="0" t="n">
        <v>29394853796000</v>
      </c>
      <c r="K11" s="0" t="n">
        <v>14659273904000</v>
      </c>
      <c r="L11" s="0" t="n">
        <v>2959870056000</v>
      </c>
      <c r="M11" s="0" t="n">
        <v>1075536572000</v>
      </c>
      <c r="N11" s="0" t="n">
        <v>30917363000</v>
      </c>
      <c r="O11" s="0" t="n">
        <v>187545308588000</v>
      </c>
      <c r="P11" s="0" t="n">
        <v>54869413588000</v>
      </c>
      <c r="Q11" s="0" t="n">
        <v>121284866912000</v>
      </c>
      <c r="R11" s="0" t="n">
        <v>59297542656000</v>
      </c>
      <c r="S11" s="0" t="n">
        <v>25774196448000</v>
      </c>
      <c r="T11" s="0" t="n">
        <v>7295253592000</v>
      </c>
      <c r="U11" s="0" t="n">
        <v>77040806964000</v>
      </c>
      <c r="V11" s="0" t="n">
        <v>38237770472000</v>
      </c>
      <c r="W11" s="0" t="n">
        <v>38803036492000</v>
      </c>
      <c r="X11" s="0" t="n">
        <v>3063629008000</v>
      </c>
      <c r="Y11" s="0" t="n">
        <v>9321006552000</v>
      </c>
      <c r="Z11" s="0" t="n">
        <v>6173657644000</v>
      </c>
      <c r="AA11" s="0" t="n">
        <v>92254172296000</v>
      </c>
      <c r="AB11" s="0" t="n">
        <v>145054961172000</v>
      </c>
      <c r="AD11" s="0" t="n">
        <v>-10525838884000</v>
      </c>
      <c r="AE11" s="0" t="n">
        <v>10117751380000</v>
      </c>
      <c r="AF11" s="0" t="s">
        <v>687</v>
      </c>
      <c r="AG11" s="0" t="s">
        <v>580</v>
      </c>
    </row>
    <row r="12" customFormat="false" ht="15" hidden="false" customHeight="false" outlineLevel="0" collapsed="false">
      <c r="A12" s="0" t="s">
        <v>47</v>
      </c>
      <c r="B12" s="0" t="s">
        <v>447</v>
      </c>
      <c r="C12" s="0" t="s">
        <v>560</v>
      </c>
      <c r="D12" s="0" t="n">
        <v>37225162612000</v>
      </c>
      <c r="E12" s="0" t="n">
        <v>21573588520000</v>
      </c>
      <c r="F12" s="0" t="n">
        <v>15651574092000</v>
      </c>
      <c r="G12" s="0" t="n">
        <v>13138060936000</v>
      </c>
      <c r="H12" s="0" t="n">
        <v>15286143444000</v>
      </c>
      <c r="I12" s="0" t="n">
        <v>15350451072000</v>
      </c>
      <c r="J12" s="0" t="n">
        <v>24713272804000</v>
      </c>
      <c r="K12" s="0" t="n">
        <v>14502256560000</v>
      </c>
      <c r="L12" s="0" t="n">
        <v>3086193088000</v>
      </c>
      <c r="M12" s="0" t="n">
        <v>783886884000</v>
      </c>
      <c r="N12" s="0" t="n">
        <v>30731355000</v>
      </c>
      <c r="O12" s="0" t="n">
        <v>120021690316000</v>
      </c>
      <c r="P12" s="0" t="n">
        <v>23840830860000</v>
      </c>
      <c r="Q12" s="0" t="n">
        <v>88230137248000</v>
      </c>
      <c r="R12" s="0" t="n">
        <v>25177179544000</v>
      </c>
      <c r="S12" s="0" t="n">
        <v>10383864260000</v>
      </c>
      <c r="T12" s="0" t="n">
        <v>7748003648000</v>
      </c>
      <c r="U12" s="0" t="n">
        <v>46663985896000</v>
      </c>
      <c r="V12" s="0" t="n">
        <v>11593549660000</v>
      </c>
      <c r="W12" s="0" t="n">
        <v>35070436236000</v>
      </c>
      <c r="X12" s="0" t="n">
        <v>1790746276000</v>
      </c>
      <c r="Y12" s="0" t="n">
        <v>6267316484000</v>
      </c>
      <c r="Z12" s="0" t="n">
        <v>2835910880000</v>
      </c>
      <c r="AA12" s="0" t="n">
        <v>59561148416000</v>
      </c>
      <c r="AB12" s="0" t="n">
        <v>96509686152000</v>
      </c>
      <c r="AD12" s="0" t="n">
        <v>-14997341128000</v>
      </c>
      <c r="AE12" s="0" t="n">
        <v>21107801440000</v>
      </c>
      <c r="AF12" s="0" t="s">
        <v>573</v>
      </c>
      <c r="AG12" s="0" t="s">
        <v>582</v>
      </c>
    </row>
    <row r="13" customFormat="false" ht="15" hidden="false" customHeight="false" outlineLevel="0" collapsed="false">
      <c r="A13" s="0" t="s">
        <v>47</v>
      </c>
      <c r="B13" s="0" t="s">
        <v>447</v>
      </c>
      <c r="C13" s="0" t="s">
        <v>553</v>
      </c>
      <c r="D13" s="0" t="n">
        <v>33551139424000</v>
      </c>
      <c r="E13" s="0" t="n">
        <v>22150261936000</v>
      </c>
      <c r="F13" s="0" t="n">
        <v>11400877488000</v>
      </c>
      <c r="G13" s="0" t="n">
        <v>9482053196000</v>
      </c>
      <c r="H13" s="0" t="n">
        <v>11179516700000</v>
      </c>
      <c r="I13" s="0" t="n">
        <v>11252670880000</v>
      </c>
      <c r="J13" s="0" t="n">
        <v>8017304152000</v>
      </c>
      <c r="K13" s="0" t="n">
        <v>10967951588000</v>
      </c>
      <c r="L13" s="0" t="n">
        <v>2195807328000</v>
      </c>
      <c r="M13" s="0" t="n">
        <v>211565112000</v>
      </c>
      <c r="N13" s="0" t="n">
        <v>29337589000</v>
      </c>
      <c r="O13" s="0" t="n">
        <v>122078710644000</v>
      </c>
      <c r="P13" s="0" t="n">
        <v>32467920320000</v>
      </c>
      <c r="Q13" s="0" t="n">
        <v>80324955084000</v>
      </c>
      <c r="R13" s="0" t="n">
        <v>18698154684000</v>
      </c>
      <c r="S13" s="0" t="n">
        <v>14707195712000</v>
      </c>
      <c r="T13" s="0" t="n">
        <v>12613804236000</v>
      </c>
      <c r="U13" s="0" t="n">
        <v>39526376428000</v>
      </c>
      <c r="V13" s="0" t="n">
        <v>15416710672000</v>
      </c>
      <c r="W13" s="0" t="n">
        <v>24109665756000</v>
      </c>
      <c r="X13" s="0" t="n">
        <v>2076934024000</v>
      </c>
      <c r="Y13" s="0" t="n">
        <v>7036697888000</v>
      </c>
      <c r="Z13" s="0" t="n">
        <v>3069538648000</v>
      </c>
      <c r="AA13" s="0" t="n">
        <v>57704285804000</v>
      </c>
      <c r="AB13" s="0" t="n">
        <v>93667185128000</v>
      </c>
      <c r="AD13" s="0" t="n">
        <v>-14354461836000</v>
      </c>
      <c r="AE13" s="0" t="n">
        <v>-3714871336000</v>
      </c>
      <c r="AF13" s="0" t="s">
        <v>581</v>
      </c>
      <c r="AG13" s="0" t="s">
        <v>584</v>
      </c>
    </row>
    <row r="14" customFormat="false" ht="15" hidden="false" customHeight="false" outlineLevel="0" collapsed="false">
      <c r="A14" s="0" t="s">
        <v>49</v>
      </c>
      <c r="B14" s="0" t="s">
        <v>447</v>
      </c>
      <c r="C14" s="0" t="s">
        <v>679</v>
      </c>
      <c r="D14" s="0" t="n">
        <v>301379000000000</v>
      </c>
      <c r="E14" s="0" t="n">
        <v>231291000000000</v>
      </c>
      <c r="F14" s="0" t="n">
        <v>70088000000000</v>
      </c>
      <c r="G14" s="0" t="n">
        <v>42201000000000</v>
      </c>
      <c r="H14" s="0" t="n">
        <v>52497000000000</v>
      </c>
      <c r="I14" s="0" t="n">
        <v>52497000000000</v>
      </c>
      <c r="J14" s="0" t="n">
        <v>28944000000000</v>
      </c>
      <c r="K14" s="0" t="n">
        <v>50390000000000</v>
      </c>
      <c r="L14" s="0" t="n">
        <v>9970000000000</v>
      </c>
      <c r="M14" s="0" t="n">
        <v>2107000000000</v>
      </c>
      <c r="N14" s="0" t="n">
        <v>40484000000</v>
      </c>
      <c r="O14" s="0" t="n">
        <v>413297000000000</v>
      </c>
      <c r="P14" s="0" t="n">
        <v>169577000000000</v>
      </c>
      <c r="Q14" s="0" t="n">
        <v>192142000000000</v>
      </c>
      <c r="R14" s="0" t="n">
        <v>61295000000000</v>
      </c>
      <c r="S14" s="0" t="n">
        <v>70721000000000</v>
      </c>
      <c r="T14" s="0" t="n">
        <v>35086000000000</v>
      </c>
      <c r="U14" s="0" t="n">
        <v>179818000000000</v>
      </c>
      <c r="V14" s="0" t="n">
        <v>119198000000000</v>
      </c>
      <c r="W14" s="0" t="n">
        <v>60620000000000</v>
      </c>
      <c r="X14" s="0" t="n">
        <v>32323000000000</v>
      </c>
      <c r="Y14" s="0" t="n">
        <v>29425000000000</v>
      </c>
      <c r="Z14" s="0" t="n">
        <v>37644000000000</v>
      </c>
      <c r="AA14" s="0" t="n">
        <v>181098000000000</v>
      </c>
      <c r="AB14" s="0" t="n">
        <v>260895000000000</v>
      </c>
      <c r="AD14" s="0" t="n">
        <v>-11855000000000</v>
      </c>
      <c r="AE14" s="0" t="n">
        <v>25487000000000</v>
      </c>
      <c r="AF14" s="0" t="s">
        <v>688</v>
      </c>
      <c r="AG14" s="0" t="s">
        <v>588</v>
      </c>
    </row>
    <row r="15" customFormat="false" ht="15" hidden="false" customHeight="false" outlineLevel="0" collapsed="false">
      <c r="A15" s="0" t="s">
        <v>49</v>
      </c>
      <c r="B15" s="0" t="s">
        <v>447</v>
      </c>
      <c r="C15" s="0" t="s">
        <v>681</v>
      </c>
      <c r="D15" s="0" t="n">
        <v>316565000000000</v>
      </c>
      <c r="E15" s="0" t="n">
        <v>243255000000000</v>
      </c>
      <c r="F15" s="0" t="n">
        <v>73310000000000</v>
      </c>
      <c r="G15" s="0" t="n">
        <v>44268000000000</v>
      </c>
      <c r="H15" s="0" t="n">
        <v>57841000000000</v>
      </c>
      <c r="I15" s="0" t="n">
        <v>57841000000000</v>
      </c>
      <c r="J15" s="0" t="n">
        <v>33839000000000</v>
      </c>
      <c r="K15" s="0" t="n">
        <v>54729000000000</v>
      </c>
      <c r="L15" s="0" t="n">
        <v>10228000000000</v>
      </c>
      <c r="M15" s="0" t="n">
        <v>3112000000000</v>
      </c>
      <c r="N15" s="0" t="n">
        <v>40484000000</v>
      </c>
      <c r="O15" s="0" t="n">
        <v>445405000000000</v>
      </c>
      <c r="P15" s="0" t="n">
        <v>194981000000000</v>
      </c>
      <c r="Q15" s="0" t="n">
        <v>198640000000000</v>
      </c>
      <c r="R15" s="0" t="n">
        <v>41136000000000</v>
      </c>
      <c r="S15" s="0" t="n">
        <v>93310000000000</v>
      </c>
      <c r="T15" s="0" t="n">
        <v>53303000000000</v>
      </c>
      <c r="U15" s="0" t="n">
        <v>166186000000000</v>
      </c>
      <c r="V15" s="0" t="n">
        <v>125022000000000</v>
      </c>
      <c r="W15" s="0" t="n">
        <v>41164000000000</v>
      </c>
      <c r="X15" s="0" t="n">
        <v>39138000000000</v>
      </c>
      <c r="Y15" s="0" t="n">
        <v>27938000000000</v>
      </c>
      <c r="Z15" s="0" t="n">
        <v>40529000000000</v>
      </c>
      <c r="AA15" s="0" t="n">
        <v>188572000000000</v>
      </c>
      <c r="AB15" s="0" t="n">
        <v>289967000000000</v>
      </c>
      <c r="AD15" s="0" t="n">
        <v>-22098000000000</v>
      </c>
      <c r="AE15" s="0" t="n">
        <v>11648000000000</v>
      </c>
      <c r="AF15" s="0" t="s">
        <v>689</v>
      </c>
      <c r="AG15" s="0" t="s">
        <v>590</v>
      </c>
    </row>
    <row r="16" customFormat="false" ht="15" hidden="false" customHeight="false" outlineLevel="0" collapsed="false">
      <c r="A16" s="0" t="s">
        <v>49</v>
      </c>
      <c r="B16" s="0" t="s">
        <v>447</v>
      </c>
      <c r="C16" s="0" t="s">
        <v>560</v>
      </c>
      <c r="D16" s="0" t="n">
        <v>328480000000000</v>
      </c>
      <c r="E16" s="0" t="n">
        <v>255421000000000</v>
      </c>
      <c r="F16" s="0" t="n">
        <v>73059000000000</v>
      </c>
      <c r="G16" s="0" t="n">
        <v>42400000000000</v>
      </c>
      <c r="H16" s="0" t="n">
        <v>56809000000000</v>
      </c>
      <c r="I16" s="0" t="n">
        <v>56809000000000</v>
      </c>
      <c r="J16" s="0" t="n">
        <v>33901000000000</v>
      </c>
      <c r="K16" s="0" t="n">
        <v>53001000000000</v>
      </c>
      <c r="L16" s="0" t="n">
        <v>9728000000000</v>
      </c>
      <c r="M16" s="0" t="n">
        <v>3808000000000</v>
      </c>
      <c r="N16" s="0" t="n">
        <v>40484000000</v>
      </c>
      <c r="O16" s="0" t="n">
        <v>471449000000000</v>
      </c>
      <c r="P16" s="0" t="n">
        <v>199445000000000</v>
      </c>
      <c r="Q16" s="0" t="n">
        <v>213676000000000</v>
      </c>
      <c r="R16" s="0" t="n">
        <v>48439000000000</v>
      </c>
      <c r="S16" s="0" t="n">
        <v>100673000000000</v>
      </c>
      <c r="T16" s="0" t="n">
        <v>50176000000000</v>
      </c>
      <c r="U16" s="0" t="n">
        <v>176261000000000</v>
      </c>
      <c r="V16" s="0" t="n">
        <v>130497000000000</v>
      </c>
      <c r="W16" s="0" t="n">
        <v>45764000000000</v>
      </c>
      <c r="X16" s="0" t="n">
        <v>37771000000000</v>
      </c>
      <c r="Y16" s="0" t="n">
        <v>26918000000000</v>
      </c>
      <c r="Z16" s="0" t="n">
        <v>39066000000000</v>
      </c>
      <c r="AA16" s="0" t="n">
        <v>202202000000000</v>
      </c>
      <c r="AB16" s="0" t="n">
        <v>312473000000000</v>
      </c>
      <c r="AD16" s="0" t="n">
        <v>-17508000000000</v>
      </c>
      <c r="AE16" s="0" t="n">
        <v>27521000000000</v>
      </c>
      <c r="AF16" s="0" t="s">
        <v>690</v>
      </c>
      <c r="AG16" s="0" t="s">
        <v>592</v>
      </c>
    </row>
    <row r="17" customFormat="false" ht="15" hidden="false" customHeight="false" outlineLevel="0" collapsed="false">
      <c r="A17" s="0" t="s">
        <v>49</v>
      </c>
      <c r="B17" s="0" t="s">
        <v>447</v>
      </c>
      <c r="C17" s="0" t="s">
        <v>553</v>
      </c>
      <c r="D17" s="0" t="n">
        <v>323392000000000</v>
      </c>
      <c r="E17" s="0" t="n">
        <v>251948000000000</v>
      </c>
      <c r="F17" s="0" t="n">
        <v>71444000000000</v>
      </c>
      <c r="G17" s="0" t="n">
        <v>38665000000000</v>
      </c>
      <c r="H17" s="0" t="n">
        <v>53022000000000</v>
      </c>
      <c r="I17" s="0" t="n">
        <v>53022000000000</v>
      </c>
      <c r="J17" s="0" t="n">
        <v>32769000000000</v>
      </c>
      <c r="K17" s="0" t="n">
        <v>49288000000000</v>
      </c>
      <c r="L17" s="0" t="n">
        <v>9083000000000</v>
      </c>
      <c r="M17" s="0" t="n">
        <v>3734000000000</v>
      </c>
      <c r="N17" s="0" t="n">
        <v>40451000000</v>
      </c>
      <c r="O17" s="0" t="n">
        <v>507366000000000</v>
      </c>
      <c r="P17" s="0" t="n">
        <v>216554000000000</v>
      </c>
      <c r="Q17" s="0" t="n">
        <v>228906000000000</v>
      </c>
      <c r="R17" s="0" t="n">
        <v>52621000000000</v>
      </c>
      <c r="S17" s="0" t="n">
        <v>110301000000000</v>
      </c>
      <c r="T17" s="0" t="n">
        <v>39841000000000</v>
      </c>
      <c r="U17" s="0" t="n">
        <v>188555000000000</v>
      </c>
      <c r="V17" s="0" t="n">
        <v>152078000000000</v>
      </c>
      <c r="W17" s="0" t="n">
        <v>36477000000000</v>
      </c>
      <c r="X17" s="0" t="n">
        <v>36215000000000</v>
      </c>
      <c r="Y17" s="0" t="n">
        <v>27822000000000</v>
      </c>
      <c r="Z17" s="0" t="n">
        <v>39238000000000</v>
      </c>
      <c r="AA17" s="0" t="n">
        <v>218512000000000</v>
      </c>
      <c r="AB17" s="0" t="n">
        <v>337231000000000</v>
      </c>
      <c r="AD17" s="0" t="n">
        <v>-17440000000000</v>
      </c>
      <c r="AE17" s="0" t="n">
        <v>27254000000000</v>
      </c>
      <c r="AF17" s="0" t="s">
        <v>589</v>
      </c>
      <c r="AG17" s="0" t="s">
        <v>594</v>
      </c>
    </row>
    <row r="18" customFormat="false" ht="15" hidden="false" customHeight="false" outlineLevel="0" collapsed="false">
      <c r="A18" s="0" t="s">
        <v>80</v>
      </c>
      <c r="B18" s="0" t="s">
        <v>447</v>
      </c>
      <c r="C18" s="0" t="s">
        <v>679</v>
      </c>
      <c r="D18" s="0" t="n">
        <v>89523508000000</v>
      </c>
      <c r="J18" s="0" t="n">
        <v>40735722000000</v>
      </c>
      <c r="K18" s="0" t="n">
        <v>50467033000000</v>
      </c>
      <c r="L18" s="0" t="n">
        <v>9711461000000</v>
      </c>
      <c r="M18" s="0" t="n">
        <v>6012580000000</v>
      </c>
      <c r="N18" s="0" t="n">
        <v>123275050000</v>
      </c>
      <c r="O18" s="0" t="n">
        <v>1314731674000000</v>
      </c>
      <c r="P18" s="0" t="n">
        <v>1093550019000000</v>
      </c>
      <c r="Q18" s="0" t="n">
        <v>221018606000000</v>
      </c>
      <c r="R18" s="0" t="n">
        <v>161598872000000</v>
      </c>
      <c r="S18" s="0" t="n">
        <v>2105543000000</v>
      </c>
      <c r="Z18" s="0" t="n">
        <v>3004360000000</v>
      </c>
      <c r="AA18" s="0" t="n">
        <v>198132066000000</v>
      </c>
      <c r="AB18" s="0" t="n">
        <v>222834980000000</v>
      </c>
      <c r="AC18" s="0" t="n">
        <v>33779263000000</v>
      </c>
      <c r="AD18" s="0" t="n">
        <v>-3355006000000</v>
      </c>
      <c r="AE18" s="0" t="n">
        <v>30424257000000</v>
      </c>
      <c r="AF18" s="0" t="s">
        <v>691</v>
      </c>
      <c r="AG18" s="0" t="s">
        <v>598</v>
      </c>
    </row>
    <row r="19" customFormat="false" ht="15" hidden="false" customHeight="false" outlineLevel="0" collapsed="false">
      <c r="A19" s="0" t="s">
        <v>80</v>
      </c>
      <c r="B19" s="0" t="s">
        <v>447</v>
      </c>
      <c r="C19" s="0" t="s">
        <v>681</v>
      </c>
      <c r="D19" s="0" t="n">
        <v>100485975000000</v>
      </c>
      <c r="J19" s="0" t="n">
        <v>48639122000000</v>
      </c>
      <c r="K19" s="0" t="n">
        <v>60179757000000</v>
      </c>
      <c r="L19" s="0" t="n">
        <v>11521662000000</v>
      </c>
      <c r="M19" s="0" t="n">
        <v>9731953000000</v>
      </c>
      <c r="N19" s="0" t="n">
        <v>123275050000</v>
      </c>
      <c r="O19" s="0" t="n">
        <v>1408107010000000</v>
      </c>
      <c r="P19" s="0" t="n">
        <v>1165569417000000</v>
      </c>
      <c r="Q19" s="0" t="n">
        <v>242356256000000</v>
      </c>
      <c r="R19" s="0" t="n">
        <v>127933638000000</v>
      </c>
      <c r="S19" s="0" t="n">
        <v>2366393000000</v>
      </c>
      <c r="Z19" s="0" t="n">
        <v>6377929000000</v>
      </c>
      <c r="AA19" s="0" t="n">
        <v>219723216000000</v>
      </c>
      <c r="AB19" s="0" t="n">
        <v>244485305000000</v>
      </c>
      <c r="AC19" s="0" t="n">
        <v>58063775000000</v>
      </c>
      <c r="AD19" s="0" t="n">
        <v>-5099348000000</v>
      </c>
      <c r="AE19" s="0" t="n">
        <v>52964427000000</v>
      </c>
      <c r="AF19" s="0" t="s">
        <v>692</v>
      </c>
      <c r="AG19" s="0" t="s">
        <v>600</v>
      </c>
    </row>
    <row r="20" customFormat="false" ht="15" hidden="false" customHeight="false" outlineLevel="0" collapsed="false">
      <c r="A20" s="0" t="s">
        <v>80</v>
      </c>
      <c r="B20" s="0" t="s">
        <v>447</v>
      </c>
      <c r="C20" s="0" t="s">
        <v>560</v>
      </c>
      <c r="D20" s="0" t="n">
        <v>108796625000000</v>
      </c>
      <c r="J20" s="0" t="n">
        <v>54836305000000</v>
      </c>
      <c r="K20" s="0" t="n">
        <v>68217850000000</v>
      </c>
      <c r="L20" s="0" t="n">
        <v>13366576000000</v>
      </c>
      <c r="M20" s="0" t="n">
        <v>9885265000000</v>
      </c>
      <c r="N20" s="0" t="n">
        <v>123275050000</v>
      </c>
      <c r="O20" s="0" t="n">
        <v>1449301328000000</v>
      </c>
      <c r="P20" s="0" t="n">
        <v>1186466241000000</v>
      </c>
      <c r="Q20" s="0" t="n">
        <v>262640621000000</v>
      </c>
      <c r="R20" s="0" t="n">
        <v>88618295000000</v>
      </c>
      <c r="S20" s="0" t="n">
        <v>3044409000000</v>
      </c>
      <c r="Z20" s="0" t="n">
        <v>2909901000000</v>
      </c>
      <c r="AA20" s="0" t="n">
        <v>239958882000000</v>
      </c>
      <c r="AB20" s="0" t="n">
        <v>265382560000000</v>
      </c>
      <c r="AC20" s="0" t="n">
        <v>53820229000000</v>
      </c>
      <c r="AD20" s="0" t="n">
        <v>-4173179000000</v>
      </c>
      <c r="AE20" s="0" t="n">
        <v>49647050000000</v>
      </c>
      <c r="AF20" s="0" t="s">
        <v>693</v>
      </c>
      <c r="AG20" s="0" t="s">
        <v>602</v>
      </c>
    </row>
    <row r="21" customFormat="false" ht="15" hidden="false" customHeight="false" outlineLevel="0" collapsed="false">
      <c r="A21" s="0" t="s">
        <v>80</v>
      </c>
      <c r="B21" s="0" t="s">
        <v>447</v>
      </c>
      <c r="C21" s="0" t="s">
        <v>553</v>
      </c>
      <c r="D21" s="0" t="n">
        <v>114319648000000</v>
      </c>
      <c r="J21" s="0" t="n">
        <v>57537287000000</v>
      </c>
      <c r="K21" s="0" t="n">
        <v>71260876000000</v>
      </c>
      <c r="L21" s="0" t="n">
        <v>13697783000000</v>
      </c>
      <c r="M21" s="0" t="n">
        <v>10455461000000</v>
      </c>
      <c r="N21" s="0" t="n">
        <v>123244982342</v>
      </c>
      <c r="O21" s="0" t="n">
        <v>1586828536000000</v>
      </c>
      <c r="P21" s="0" t="n">
        <v>1305140981000000</v>
      </c>
      <c r="Q21" s="0" t="n">
        <v>281466478000000</v>
      </c>
      <c r="R21" s="0" t="n">
        <v>90907332000000</v>
      </c>
      <c r="S21" s="0" t="n">
        <v>2395446000000</v>
      </c>
      <c r="Z21" s="0" t="n">
        <v>3526817000000</v>
      </c>
      <c r="AA21" s="0" t="n">
        <v>258920057000000</v>
      </c>
      <c r="AB21" s="0" t="n">
        <v>283578337000000</v>
      </c>
      <c r="AC21" s="0" t="n">
        <v>77508785000000</v>
      </c>
      <c r="AD21" s="0" t="n">
        <v>-2451210000000</v>
      </c>
      <c r="AE21" s="0" t="n">
        <v>75057575000000</v>
      </c>
      <c r="AF21" s="0" t="s">
        <v>599</v>
      </c>
      <c r="AG21" s="0" t="s">
        <v>604</v>
      </c>
    </row>
    <row r="22" customFormat="false" ht="15" hidden="false" customHeight="false" outlineLevel="0" collapsed="false">
      <c r="A22" s="0" t="s">
        <v>81</v>
      </c>
      <c r="B22" s="0" t="s">
        <v>447</v>
      </c>
      <c r="C22" s="0" t="s">
        <v>679</v>
      </c>
      <c r="D22" s="0" t="n">
        <v>153783233000000</v>
      </c>
      <c r="J22" s="0" t="n">
        <v>51170312000000</v>
      </c>
      <c r="K22" s="0" t="n">
        <v>64596701000000</v>
      </c>
      <c r="L22" s="0" t="n">
        <v>13188494000000</v>
      </c>
      <c r="M22" s="0" t="n">
        <v>26269701000000</v>
      </c>
      <c r="N22" s="0" t="n">
        <v>151408935437</v>
      </c>
      <c r="O22" s="0" t="n">
        <v>1865639010000000</v>
      </c>
      <c r="P22" s="0" t="n">
        <v>1562243693000000</v>
      </c>
      <c r="Q22" s="0" t="n">
        <v>299294011000000</v>
      </c>
      <c r="R22" s="0" t="n">
        <v>270212405000000</v>
      </c>
      <c r="S22" s="0" t="n">
        <v>143484949000000</v>
      </c>
      <c r="Z22" s="0" t="n">
        <v>2025532000000</v>
      </c>
      <c r="AA22" s="0" t="n">
        <v>198147249000000</v>
      </c>
      <c r="AB22" s="0" t="n">
        <v>442778960000000</v>
      </c>
      <c r="AC22" s="0" t="n">
        <v>97506005000000</v>
      </c>
      <c r="AD22" s="0" t="n">
        <v>-10538233000000</v>
      </c>
      <c r="AE22" s="0" t="n">
        <v>86967772000000</v>
      </c>
      <c r="AF22" s="0" t="s">
        <v>694</v>
      </c>
      <c r="AG22" s="0" t="s">
        <v>608</v>
      </c>
    </row>
    <row r="23" customFormat="false" ht="15" hidden="false" customHeight="false" outlineLevel="0" collapsed="false">
      <c r="A23" s="0" t="s">
        <v>81</v>
      </c>
      <c r="B23" s="0" t="s">
        <v>447</v>
      </c>
      <c r="C23" s="0" t="s">
        <v>681</v>
      </c>
      <c r="D23" s="0" t="n">
        <v>166453016000000</v>
      </c>
      <c r="J23" s="0" t="n">
        <v>60099863000000</v>
      </c>
      <c r="K23" s="0" t="n">
        <v>76429712000000</v>
      </c>
      <c r="L23" s="0" t="n">
        <v>16004664000000</v>
      </c>
      <c r="M23" s="0" t="n">
        <v>42658864000000</v>
      </c>
      <c r="N23" s="0" t="n">
        <v>150914807140</v>
      </c>
      <c r="O23" s="0" t="n">
        <v>1965414954000000</v>
      </c>
      <c r="P23" s="0" t="n">
        <v>1648556059000000</v>
      </c>
      <c r="Q23" s="0" t="n">
        <v>311465937000000</v>
      </c>
      <c r="R23" s="0" t="n">
        <v>221058240000000</v>
      </c>
      <c r="S23" s="0" t="n">
        <v>148985077000000</v>
      </c>
      <c r="Z23" s="0" t="n">
        <v>2156764000000</v>
      </c>
      <c r="AA23" s="0" t="n">
        <v>210838538000000</v>
      </c>
      <c r="AB23" s="0" t="n">
        <v>460451014000000</v>
      </c>
      <c r="AC23" s="0" t="n">
        <v>-4971454000000</v>
      </c>
      <c r="AD23" s="0" t="n">
        <v>-8177296000000</v>
      </c>
      <c r="AE23" s="0" t="n">
        <v>-13148750000000</v>
      </c>
      <c r="AF23" s="0" t="s">
        <v>695</v>
      </c>
      <c r="AG23" s="0" t="s">
        <v>610</v>
      </c>
    </row>
    <row r="24" customFormat="false" ht="15" hidden="false" customHeight="false" outlineLevel="0" collapsed="false">
      <c r="A24" s="0" t="s">
        <v>81</v>
      </c>
      <c r="B24" s="0" t="s">
        <v>447</v>
      </c>
      <c r="C24" s="0" t="s">
        <v>560</v>
      </c>
      <c r="D24" s="0" t="n">
        <v>172996429000000</v>
      </c>
      <c r="J24" s="0" t="n">
        <v>59944649000000</v>
      </c>
      <c r="K24" s="0" t="n">
        <v>77252194000000</v>
      </c>
      <c r="L24" s="0" t="n">
        <v>16945848000000</v>
      </c>
      <c r="M24" s="0" t="n">
        <v>55601330000000</v>
      </c>
      <c r="N24" s="0" t="n">
        <v>150763568628</v>
      </c>
      <c r="O24" s="0" t="n">
        <v>1992186906000000</v>
      </c>
      <c r="P24" s="0" t="n">
        <v>1668871890000000</v>
      </c>
      <c r="Q24" s="0" t="n">
        <v>317028351000000</v>
      </c>
      <c r="R24" s="0" t="n">
        <v>198281371000000</v>
      </c>
      <c r="S24" s="0" t="n">
        <v>161521414000000</v>
      </c>
      <c r="Z24" s="0" t="n">
        <v>2109427000000</v>
      </c>
      <c r="AA24" s="0" t="n">
        <v>215009704000000</v>
      </c>
      <c r="AB24" s="0" t="n">
        <v>478302022000000</v>
      </c>
      <c r="AC24" s="0" t="n">
        <v>24283108000000</v>
      </c>
      <c r="AD24" s="0" t="n">
        <v>-10334588000000</v>
      </c>
      <c r="AE24" s="0" t="n">
        <v>13948520000000</v>
      </c>
      <c r="AF24" s="0" t="s">
        <v>605</v>
      </c>
      <c r="AG24" s="0" t="s">
        <v>612</v>
      </c>
    </row>
    <row r="25" customFormat="false" ht="15" hidden="false" customHeight="false" outlineLevel="0" collapsed="false">
      <c r="A25" s="0" t="s">
        <v>81</v>
      </c>
      <c r="B25" s="0" t="s">
        <v>447</v>
      </c>
      <c r="C25" s="0" t="s">
        <v>553</v>
      </c>
      <c r="D25" s="0" t="n">
        <v>186876558000000</v>
      </c>
      <c r="J25" s="0" t="n">
        <v>56652384000000</v>
      </c>
      <c r="K25" s="0" t="n">
        <v>72792819000000</v>
      </c>
      <c r="L25" s="0" t="n">
        <v>15660454000000</v>
      </c>
      <c r="M25" s="0" t="n">
        <v>56012924000000</v>
      </c>
      <c r="N25" s="0" t="n">
        <v>150602160685</v>
      </c>
      <c r="O25" s="0" t="n">
        <v>2135371105000000</v>
      </c>
      <c r="P25" s="0" t="n">
        <v>1804429671000000</v>
      </c>
      <c r="Q25" s="0" t="n">
        <v>324033858000000</v>
      </c>
      <c r="R25" s="0" t="n">
        <v>126392161000000</v>
      </c>
      <c r="S25" s="0" t="n">
        <v>171647601000000</v>
      </c>
      <c r="Z25" s="0" t="n">
        <v>1963404000000</v>
      </c>
      <c r="AA25" s="0" t="n">
        <v>219640693000000</v>
      </c>
      <c r="AB25" s="0" t="n">
        <v>495338674000000</v>
      </c>
      <c r="AC25" s="0" t="n">
        <v>14617023000000</v>
      </c>
      <c r="AD25" s="0" t="n">
        <v>-6344276000000</v>
      </c>
      <c r="AE25" s="0" t="n">
        <v>8272747000000</v>
      </c>
      <c r="AF25" s="0" t="s">
        <v>611</v>
      </c>
      <c r="AG25" s="0" t="s">
        <v>614</v>
      </c>
    </row>
    <row r="26" customFormat="false" ht="15" hidden="false" customHeight="false" outlineLevel="0" collapsed="false">
      <c r="A26" s="0" t="s">
        <v>38</v>
      </c>
      <c r="B26" s="0" t="s">
        <v>447</v>
      </c>
      <c r="C26" s="0" t="s">
        <v>679</v>
      </c>
      <c r="D26" s="0" t="n">
        <v>115633384000000</v>
      </c>
      <c r="J26" s="0" t="n">
        <v>41170637000000</v>
      </c>
      <c r="K26" s="0" t="n">
        <v>56377726000000</v>
      </c>
      <c r="L26" s="0" t="n">
        <v>11425358000000</v>
      </c>
      <c r="M26" s="0" t="n">
        <v>20510620000000</v>
      </c>
      <c r="N26" s="0" t="n">
        <v>93302714482</v>
      </c>
      <c r="O26" s="0" t="n">
        <v>1992544687000000</v>
      </c>
      <c r="P26" s="0" t="n">
        <v>1740299232000000</v>
      </c>
      <c r="Q26" s="0" t="n">
        <v>229678786000000</v>
      </c>
      <c r="R26" s="0" t="n">
        <v>277848602000000</v>
      </c>
      <c r="S26" s="0" t="n">
        <v>107146082000000</v>
      </c>
      <c r="Z26" s="0" t="n">
        <v>5140147000000</v>
      </c>
      <c r="AA26" s="0" t="n">
        <v>161606164000000</v>
      </c>
      <c r="AB26" s="0" t="n">
        <v>335956834000000</v>
      </c>
      <c r="AC26" s="0" t="n">
        <v>99975305000000</v>
      </c>
      <c r="AD26" s="0" t="n">
        <v>-7226465000000</v>
      </c>
      <c r="AE26" s="0" t="n">
        <v>92748840000000</v>
      </c>
      <c r="AF26" s="0" t="s">
        <v>696</v>
      </c>
      <c r="AG26" s="0" t="s">
        <v>620</v>
      </c>
    </row>
    <row r="27" customFormat="false" ht="15" hidden="false" customHeight="false" outlineLevel="0" collapsed="false">
      <c r="A27" s="0" t="s">
        <v>38</v>
      </c>
      <c r="B27" s="0" t="s">
        <v>447</v>
      </c>
      <c r="C27" s="0" t="s">
        <v>681</v>
      </c>
      <c r="D27" s="0" t="n">
        <v>124193814000000</v>
      </c>
      <c r="J27" s="0" t="n">
        <v>55060057000000</v>
      </c>
      <c r="K27" s="0" t="n">
        <v>74684881000000</v>
      </c>
      <c r="L27" s="0" t="n">
        <v>14633011000000</v>
      </c>
      <c r="M27" s="0" t="n">
        <v>30733842000000</v>
      </c>
      <c r="N27" s="0" t="n">
        <v>93333333332</v>
      </c>
      <c r="O27" s="0" t="n">
        <v>2174219449000000</v>
      </c>
      <c r="P27" s="0" t="n">
        <v>1886724487000000</v>
      </c>
      <c r="Q27" s="0" t="n">
        <v>260852784000000</v>
      </c>
      <c r="R27" s="0" t="n">
        <v>249396176000000</v>
      </c>
      <c r="S27" s="0" t="n">
        <v>134256304000000</v>
      </c>
      <c r="Z27" s="0" t="n">
        <v>11145241000000</v>
      </c>
      <c r="AA27" s="0" t="n">
        <v>191923489000000</v>
      </c>
      <c r="AB27" s="0" t="n">
        <v>394114120000000</v>
      </c>
      <c r="AC27" s="0" t="n">
        <v>-69803958000000</v>
      </c>
      <c r="AD27" s="0" t="n">
        <v>-5021036000000</v>
      </c>
      <c r="AE27" s="0" t="n">
        <v>-74824994000000</v>
      </c>
      <c r="AF27" s="0" t="s">
        <v>697</v>
      </c>
      <c r="AG27" s="0" t="s">
        <v>622</v>
      </c>
    </row>
    <row r="28" customFormat="false" ht="15" hidden="false" customHeight="false" outlineLevel="0" collapsed="false">
      <c r="A28" s="0" t="s">
        <v>38</v>
      </c>
      <c r="B28" s="0" t="s">
        <v>447</v>
      </c>
      <c r="C28" s="0" t="s">
        <v>560</v>
      </c>
      <c r="D28" s="0" t="n">
        <v>134799086000000</v>
      </c>
      <c r="J28" s="0" t="n">
        <v>55782742000000</v>
      </c>
      <c r="K28" s="0" t="n">
        <v>76403486000000</v>
      </c>
      <c r="L28" s="0" t="n">
        <v>15238365000000</v>
      </c>
      <c r="M28" s="0" t="n">
        <v>41718486000000</v>
      </c>
      <c r="N28" s="0" t="n">
        <v>93333333332</v>
      </c>
      <c r="O28" s="0" t="n">
        <v>2427223262000000</v>
      </c>
      <c r="P28" s="0" t="n">
        <v>2113748581000000</v>
      </c>
      <c r="Q28" s="0" t="n">
        <v>283796429000000</v>
      </c>
      <c r="R28" s="0" t="n">
        <v>250733275000000</v>
      </c>
      <c r="S28" s="0" t="n">
        <v>172099510000000</v>
      </c>
      <c r="Z28" s="0" t="n">
        <v>7568480000000</v>
      </c>
      <c r="AA28" s="0" t="n">
        <v>214670201000000</v>
      </c>
      <c r="AB28" s="0" t="n">
        <v>454279359000000</v>
      </c>
      <c r="AC28" s="0" t="n">
        <v>-79558278000000</v>
      </c>
      <c r="AD28" s="0" t="n">
        <v>-8543896000000</v>
      </c>
      <c r="AE28" s="0" t="n">
        <v>-88102174000000</v>
      </c>
      <c r="AF28" s="0" t="s">
        <v>698</v>
      </c>
      <c r="AG28" s="0" t="s">
        <v>624</v>
      </c>
    </row>
    <row r="29" customFormat="false" ht="15" hidden="false" customHeight="false" outlineLevel="0" collapsed="false">
      <c r="A29" s="0" t="s">
        <v>38</v>
      </c>
      <c r="B29" s="0" t="s">
        <v>447</v>
      </c>
      <c r="C29" s="0" t="s">
        <v>553</v>
      </c>
      <c r="D29" s="0" t="n">
        <v>140173049000000</v>
      </c>
      <c r="J29" s="0" t="n">
        <v>56293950000000</v>
      </c>
      <c r="K29" s="0" t="n">
        <v>76417563000000</v>
      </c>
      <c r="L29" s="0" t="n">
        <v>15071430000000</v>
      </c>
      <c r="M29" s="0" t="n">
        <v>49211664000000</v>
      </c>
      <c r="N29" s="0" t="n">
        <v>93320458332</v>
      </c>
      <c r="O29" s="0" t="n">
        <v>2829948026000000</v>
      </c>
      <c r="P29" s="0" t="n">
        <v>2502546028000000</v>
      </c>
      <c r="Q29" s="0" t="n">
        <v>293750669000000</v>
      </c>
      <c r="R29" s="0" t="n">
        <v>384905876000000</v>
      </c>
      <c r="S29" s="0" t="n">
        <v>218797194000000</v>
      </c>
      <c r="Z29" s="0" t="n">
        <v>9463619000000</v>
      </c>
      <c r="AA29" s="0" t="n">
        <v>218129454000000</v>
      </c>
      <c r="AB29" s="0" t="n">
        <v>508518318000000</v>
      </c>
      <c r="AC29" s="0" t="n">
        <v>206540138000000</v>
      </c>
      <c r="AD29" s="0" t="n">
        <v>-7504327000000</v>
      </c>
      <c r="AE29" s="0" t="n">
        <v>199035811000000</v>
      </c>
      <c r="AF29" s="0" t="s">
        <v>621</v>
      </c>
      <c r="AG29" s="0" t="s">
        <v>626</v>
      </c>
    </row>
    <row r="30" customFormat="false" ht="15" hidden="false" customHeight="false" outlineLevel="0" collapsed="false">
      <c r="A30" s="0" t="s">
        <v>48</v>
      </c>
      <c r="B30" s="0" t="s">
        <v>447</v>
      </c>
      <c r="C30" s="0" t="s">
        <v>699</v>
      </c>
      <c r="T30" s="0" t="n">
        <v>122667000000</v>
      </c>
      <c r="AF30" s="0" t="s">
        <v>700</v>
      </c>
      <c r="AG30" s="0" t="s">
        <v>628</v>
      </c>
    </row>
    <row r="31" customFormat="false" ht="15" hidden="false" customHeight="false" outlineLevel="0" collapsed="false">
      <c r="A31" s="0" t="s">
        <v>48</v>
      </c>
      <c r="B31" s="0" t="s">
        <v>447</v>
      </c>
      <c r="C31" s="0" t="s">
        <v>679</v>
      </c>
      <c r="D31" s="0" t="n">
        <v>124682692000000</v>
      </c>
      <c r="E31" s="0" t="n">
        <v>113587089000000</v>
      </c>
      <c r="F31" s="0" t="n">
        <v>11095603000000</v>
      </c>
      <c r="G31" s="0" t="n">
        <v>3918100000000</v>
      </c>
      <c r="H31" s="0" t="n">
        <v>3908926000000</v>
      </c>
      <c r="I31" s="0" t="n">
        <v>4770944000000</v>
      </c>
      <c r="J31" s="0" t="n">
        <v>2779739000000</v>
      </c>
      <c r="K31" s="0" t="n">
        <v>3646521000000</v>
      </c>
      <c r="L31" s="0" t="n">
        <v>866779000000</v>
      </c>
      <c r="M31" s="0" t="n">
        <v>262405000000</v>
      </c>
      <c r="N31" s="0" t="n">
        <v>1924088000</v>
      </c>
      <c r="O31" s="0" t="n">
        <v>88562617000000</v>
      </c>
      <c r="P31" s="0" t="n">
        <v>30706651000000</v>
      </c>
      <c r="Q31" s="0" t="n">
        <v>57855897000000</v>
      </c>
      <c r="R31" s="0" t="n">
        <v>4407033000000</v>
      </c>
      <c r="S31" s="0" t="n">
        <v>10136469000000</v>
      </c>
      <c r="T31" s="0" t="n">
        <v>65385000000</v>
      </c>
      <c r="U31" s="0" t="n">
        <v>55445127000000</v>
      </c>
      <c r="V31" s="0" t="n">
        <v>29125010000000</v>
      </c>
      <c r="W31" s="0" t="n">
        <v>26320117000000</v>
      </c>
      <c r="X31" s="0" t="n">
        <v>41865435000000</v>
      </c>
      <c r="Y31" s="0" t="n">
        <v>2181496000000</v>
      </c>
      <c r="Z31" s="0" t="n">
        <v>1308958000000</v>
      </c>
      <c r="AA31" s="0" t="n">
        <v>56673532000000</v>
      </c>
      <c r="AB31" s="0" t="n">
        <v>67992366000000</v>
      </c>
      <c r="AD31" s="0" t="n">
        <v>-5423876000000</v>
      </c>
      <c r="AE31" s="0" t="n">
        <v>4444108000000</v>
      </c>
      <c r="AF31" s="0" t="s">
        <v>701</v>
      </c>
      <c r="AG31" s="0" t="s">
        <v>630</v>
      </c>
    </row>
    <row r="32" customFormat="false" ht="15" hidden="false" customHeight="false" outlineLevel="0" collapsed="false">
      <c r="A32" s="0" t="s">
        <v>48</v>
      </c>
      <c r="B32" s="0" t="s">
        <v>447</v>
      </c>
      <c r="C32" s="0" t="s">
        <v>681</v>
      </c>
      <c r="D32" s="0" t="n">
        <v>118952997000000</v>
      </c>
      <c r="E32" s="0" t="n">
        <v>104357376000000</v>
      </c>
      <c r="F32" s="0" t="n">
        <v>14595621000000</v>
      </c>
      <c r="G32" s="0" t="n">
        <v>7433905000000</v>
      </c>
      <c r="H32" s="0" t="n">
        <v>7439598000000</v>
      </c>
      <c r="I32" s="0" t="n">
        <v>8348979000000</v>
      </c>
      <c r="J32" s="0" t="n">
        <v>5324514000000</v>
      </c>
      <c r="K32" s="0" t="n">
        <v>6860816000000</v>
      </c>
      <c r="L32" s="0" t="n">
        <v>1536300000000</v>
      </c>
      <c r="M32" s="0" t="n">
        <v>578782000000</v>
      </c>
      <c r="N32" s="0" t="n">
        <v>1924088000</v>
      </c>
      <c r="O32" s="0" t="n">
        <v>92450823000000</v>
      </c>
      <c r="P32" s="0" t="n">
        <v>31587980000000</v>
      </c>
      <c r="Q32" s="0" t="n">
        <v>60862772000000</v>
      </c>
      <c r="R32" s="0" t="n">
        <v>4256264000000</v>
      </c>
      <c r="S32" s="0" t="n">
        <v>13395817000000</v>
      </c>
      <c r="T32" s="0" t="n">
        <v>0</v>
      </c>
      <c r="U32" s="0" t="n">
        <v>54115182000000</v>
      </c>
      <c r="V32" s="0" t="n">
        <v>29536433000000</v>
      </c>
      <c r="W32" s="0" t="n">
        <v>24578749000000</v>
      </c>
      <c r="X32" s="0" t="n">
        <v>41259511000000</v>
      </c>
      <c r="Y32" s="0" t="n">
        <v>1952036000000</v>
      </c>
      <c r="Z32" s="0" t="n">
        <v>1064716000000</v>
      </c>
      <c r="AA32" s="0" t="n">
        <v>59680407000000</v>
      </c>
      <c r="AB32" s="0" t="n">
        <v>74258589000000</v>
      </c>
      <c r="AD32" s="0" t="n">
        <v>-5698121000000</v>
      </c>
      <c r="AE32" s="0" t="n">
        <v>-1288858000000</v>
      </c>
      <c r="AF32" s="0" t="s">
        <v>702</v>
      </c>
      <c r="AG32" s="0" t="s">
        <v>632</v>
      </c>
    </row>
    <row r="33" customFormat="false" ht="15" hidden="false" customHeight="false" outlineLevel="0" collapsed="false">
      <c r="A33" s="0" t="s">
        <v>48</v>
      </c>
      <c r="B33" s="0" t="s">
        <v>447</v>
      </c>
      <c r="C33" s="0" t="s">
        <v>560</v>
      </c>
      <c r="D33" s="0" t="n">
        <v>98655483000000</v>
      </c>
      <c r="E33" s="0" t="n">
        <v>89275859000000</v>
      </c>
      <c r="F33" s="0" t="n">
        <v>9379624000000</v>
      </c>
      <c r="G33" s="0" t="n">
        <v>1870752000000</v>
      </c>
      <c r="H33" s="0" t="n">
        <v>1903460000000</v>
      </c>
      <c r="I33" s="0" t="n">
        <v>2779722000000</v>
      </c>
      <c r="J33" s="0" t="n">
        <v>980805000000</v>
      </c>
      <c r="K33" s="0" t="n">
        <v>1400554000000</v>
      </c>
      <c r="L33" s="0" t="n">
        <v>419750000000</v>
      </c>
      <c r="M33" s="0" t="n">
        <v>502906000000</v>
      </c>
      <c r="N33" s="0" t="n">
        <v>1924088000</v>
      </c>
      <c r="O33" s="0" t="n">
        <v>84939276000000</v>
      </c>
      <c r="P33" s="0" t="n">
        <v>23022685000000</v>
      </c>
      <c r="Q33" s="0" t="n">
        <v>61916521000000</v>
      </c>
      <c r="R33" s="0" t="n">
        <v>3705754000000</v>
      </c>
      <c r="S33" s="0" t="n">
        <v>9375398000000</v>
      </c>
      <c r="U33" s="0" t="n">
        <v>47590906000000</v>
      </c>
      <c r="V33" s="0" t="n">
        <v>20824215000000</v>
      </c>
      <c r="W33" s="0" t="n">
        <v>26766691000000</v>
      </c>
      <c r="X33" s="0" t="n">
        <v>38097173000000</v>
      </c>
      <c r="Y33" s="0" t="n">
        <v>1840880000000</v>
      </c>
      <c r="Z33" s="0" t="n">
        <v>1127437000000</v>
      </c>
      <c r="AA33" s="0" t="n">
        <v>60734156000000</v>
      </c>
      <c r="AB33" s="0" t="n">
        <v>71291919000000</v>
      </c>
      <c r="AD33" s="0" t="n">
        <v>-3185010000000</v>
      </c>
      <c r="AE33" s="0" t="n">
        <v>3342061000000</v>
      </c>
      <c r="AF33" s="0" t="s">
        <v>703</v>
      </c>
      <c r="AG33" s="0" t="s">
        <v>634</v>
      </c>
    </row>
    <row r="34" customFormat="false" ht="15" hidden="false" customHeight="false" outlineLevel="0" collapsed="false">
      <c r="A34" s="0" t="s">
        <v>48</v>
      </c>
      <c r="B34" s="0" t="s">
        <v>447</v>
      </c>
      <c r="C34" s="0" t="s">
        <v>553</v>
      </c>
      <c r="D34" s="0" t="n">
        <v>89369758000000</v>
      </c>
      <c r="E34" s="0" t="n">
        <v>80385284000000</v>
      </c>
      <c r="F34" s="0" t="n">
        <v>8984474000000</v>
      </c>
      <c r="G34" s="0" t="n">
        <v>2819934000000</v>
      </c>
      <c r="H34" s="0" t="n">
        <v>2831757000000</v>
      </c>
      <c r="I34" s="0" t="n">
        <v>3643189000000</v>
      </c>
      <c r="J34" s="0" t="n">
        <v>1556533000000</v>
      </c>
      <c r="K34" s="0" t="n">
        <v>2553545000000</v>
      </c>
      <c r="L34" s="0" t="n">
        <v>993959000000</v>
      </c>
      <c r="M34" s="0" t="n">
        <v>278212000000</v>
      </c>
      <c r="N34" s="0" t="n">
        <v>1924088000</v>
      </c>
      <c r="O34" s="0" t="n">
        <v>75251653000000</v>
      </c>
      <c r="P34" s="0" t="n">
        <v>12680816000000</v>
      </c>
      <c r="Q34" s="0" t="n">
        <v>62567714000000</v>
      </c>
      <c r="R34" s="0" t="n">
        <v>3613292000000</v>
      </c>
      <c r="S34" s="0" t="n">
        <v>761931000000</v>
      </c>
      <c r="U34" s="0" t="n">
        <v>39438262000000</v>
      </c>
      <c r="V34" s="0" t="n">
        <v>10724952000000</v>
      </c>
      <c r="W34" s="0" t="n">
        <v>28713310000000</v>
      </c>
      <c r="X34" s="0" t="n">
        <v>31615003000000</v>
      </c>
      <c r="Y34" s="0" t="n">
        <v>1923276000000</v>
      </c>
      <c r="Z34" s="0" t="n">
        <v>682560000000</v>
      </c>
      <c r="AA34" s="0" t="n">
        <v>61385349000000</v>
      </c>
      <c r="AB34" s="0" t="n">
        <v>63329645000000</v>
      </c>
      <c r="AD34" s="0" t="n">
        <v>-2477544000000</v>
      </c>
      <c r="AE34" s="0" t="n">
        <v>9128322000000</v>
      </c>
      <c r="AF34" s="0" t="s">
        <v>631</v>
      </c>
      <c r="AG34" s="0" t="s">
        <v>636</v>
      </c>
    </row>
    <row r="35" customFormat="false" ht="15" hidden="false" customHeight="false" outlineLevel="0" collapsed="false">
      <c r="A35" s="0" t="s">
        <v>45</v>
      </c>
      <c r="B35" s="0" t="s">
        <v>447</v>
      </c>
      <c r="C35" s="0" t="s">
        <v>679</v>
      </c>
      <c r="D35" s="0" t="n">
        <v>65117302404000</v>
      </c>
      <c r="E35" s="0" t="n">
        <v>31192530468000</v>
      </c>
      <c r="F35" s="0" t="n">
        <v>33924771936000</v>
      </c>
      <c r="G35" s="0" t="n">
        <v>30132860384000</v>
      </c>
      <c r="H35" s="0" t="n">
        <v>27713292596000</v>
      </c>
      <c r="I35" s="0" t="n">
        <v>28108056548000</v>
      </c>
      <c r="J35" s="0" t="n">
        <v>21490871468000</v>
      </c>
      <c r="K35" s="0" t="n">
        <v>27664135136000</v>
      </c>
      <c r="L35" s="0" t="n">
        <v>6186264876000</v>
      </c>
      <c r="M35" s="0" t="n">
        <v>49157460000</v>
      </c>
      <c r="N35" s="0" t="n">
        <v>1123767000</v>
      </c>
      <c r="O35" s="0" t="n">
        <v>47280289716000</v>
      </c>
      <c r="P35" s="0" t="n">
        <v>12354675476000</v>
      </c>
      <c r="Q35" s="0" t="n">
        <v>35011178664000</v>
      </c>
      <c r="R35" s="0" t="n">
        <v>25614295916000</v>
      </c>
      <c r="S35" s="0" t="n">
        <v>892713800000</v>
      </c>
      <c r="T35" s="0" t="n">
        <v>228989596000</v>
      </c>
      <c r="U35" s="0" t="n">
        <v>34178223860000</v>
      </c>
      <c r="V35" s="0" t="n">
        <v>10487157604000</v>
      </c>
      <c r="W35" s="0" t="n">
        <v>23691066256000</v>
      </c>
      <c r="X35" s="0" t="n">
        <v>1720779720000</v>
      </c>
      <c r="Y35" s="0" t="n">
        <v>5022871656000</v>
      </c>
      <c r="Z35" s="0" t="n">
        <v>2583694608000</v>
      </c>
      <c r="AA35" s="0" t="n">
        <v>26895237248000</v>
      </c>
      <c r="AB35" s="0" t="n">
        <v>35477359720000</v>
      </c>
      <c r="AD35" s="0" t="n">
        <v>-795043568000</v>
      </c>
      <c r="AE35" s="0" t="n">
        <v>22941509008000</v>
      </c>
      <c r="AF35" s="0" t="s">
        <v>704</v>
      </c>
      <c r="AG35" s="0" t="s">
        <v>640</v>
      </c>
    </row>
    <row r="36" customFormat="false" ht="15" hidden="false" customHeight="false" outlineLevel="0" collapsed="false">
      <c r="A36" s="0" t="s">
        <v>45</v>
      </c>
      <c r="B36" s="0" t="s">
        <v>447</v>
      </c>
      <c r="C36" s="0" t="s">
        <v>681</v>
      </c>
      <c r="D36" s="0" t="n">
        <v>42519233020000</v>
      </c>
      <c r="E36" s="0" t="n">
        <v>29221790884000</v>
      </c>
      <c r="F36" s="0" t="n">
        <v>13297442136000</v>
      </c>
      <c r="G36" s="0" t="n">
        <v>10763657124000</v>
      </c>
      <c r="H36" s="0" t="n">
        <v>11570502064000</v>
      </c>
      <c r="I36" s="0" t="n">
        <v>11909482596000</v>
      </c>
      <c r="J36" s="0" t="n">
        <v>8959927548000</v>
      </c>
      <c r="K36" s="0" t="n">
        <v>11534757696000</v>
      </c>
      <c r="L36" s="0" t="n">
        <v>2587562736000</v>
      </c>
      <c r="M36" s="0" t="n">
        <v>35744368000</v>
      </c>
      <c r="N36" s="0" t="n">
        <v>1129925000</v>
      </c>
      <c r="O36" s="0" t="n">
        <v>39179964076000</v>
      </c>
      <c r="P36" s="0" t="n">
        <v>7150789756000</v>
      </c>
      <c r="Q36" s="0" t="n">
        <v>32011964732000</v>
      </c>
      <c r="R36" s="0" t="n">
        <v>15242376292000</v>
      </c>
      <c r="S36" s="0" t="n">
        <v>964739776000</v>
      </c>
      <c r="T36" s="0" t="n">
        <v>136494776000</v>
      </c>
      <c r="U36" s="0" t="n">
        <v>22919947776000</v>
      </c>
      <c r="V36" s="0" t="n">
        <v>5269500632000</v>
      </c>
      <c r="W36" s="0" t="n">
        <v>17650447144000</v>
      </c>
      <c r="X36" s="0" t="n">
        <v>1754464668000</v>
      </c>
      <c r="Y36" s="0" t="n">
        <v>3535916692000</v>
      </c>
      <c r="Z36" s="0" t="n">
        <v>1969002508000</v>
      </c>
      <c r="AA36" s="0" t="n">
        <v>23780122740000</v>
      </c>
      <c r="AB36" s="0" t="n">
        <v>32870707056000</v>
      </c>
      <c r="AD36" s="0" t="n">
        <v>-1445497944000</v>
      </c>
      <c r="AE36" s="0" t="n">
        <v>2512958008000</v>
      </c>
      <c r="AF36" s="0" t="s">
        <v>705</v>
      </c>
      <c r="AG36" s="0" t="s">
        <v>642</v>
      </c>
    </row>
    <row r="37" customFormat="false" ht="15" hidden="false" customHeight="false" outlineLevel="0" collapsed="false">
      <c r="A37" s="0" t="s">
        <v>45</v>
      </c>
      <c r="B37" s="0" t="s">
        <v>447</v>
      </c>
      <c r="C37" s="0" t="s">
        <v>560</v>
      </c>
      <c r="D37" s="0" t="n">
        <v>41268932276000</v>
      </c>
      <c r="E37" s="0" t="n">
        <v>28754642796000</v>
      </c>
      <c r="F37" s="0" t="n">
        <v>12514289480000</v>
      </c>
      <c r="G37" s="0" t="n">
        <v>8563193716000</v>
      </c>
      <c r="H37" s="0" t="n">
        <v>8924183180000</v>
      </c>
      <c r="I37" s="0" t="n">
        <v>8947463580000</v>
      </c>
      <c r="J37" s="0" t="n">
        <v>6699723052000</v>
      </c>
      <c r="K37" s="0" t="n">
        <v>8861254468000</v>
      </c>
      <c r="L37" s="0" t="n">
        <v>2134991760000</v>
      </c>
      <c r="M37" s="0" t="n">
        <v>62928712000</v>
      </c>
      <c r="N37" s="0" t="n">
        <v>1129925000</v>
      </c>
      <c r="O37" s="0" t="n">
        <v>43096389952000</v>
      </c>
      <c r="P37" s="0" t="n">
        <v>8465720472000</v>
      </c>
      <c r="Q37" s="0" t="n">
        <v>34527823836000</v>
      </c>
      <c r="R37" s="0" t="n">
        <v>17735438512000</v>
      </c>
      <c r="S37" s="0" t="n">
        <v>1296413844000</v>
      </c>
      <c r="T37" s="0" t="n">
        <v>803424512000</v>
      </c>
      <c r="U37" s="0" t="n">
        <v>25156334632000</v>
      </c>
      <c r="V37" s="0" t="n">
        <v>5620945132000</v>
      </c>
      <c r="W37" s="0" t="n">
        <v>19535389500000</v>
      </c>
      <c r="X37" s="0" t="n">
        <v>1513512528000</v>
      </c>
      <c r="Y37" s="0" t="n">
        <v>3290380104000</v>
      </c>
      <c r="Z37" s="0" t="n">
        <v>2380671612000</v>
      </c>
      <c r="AA37" s="0" t="n">
        <v>26513313332000</v>
      </c>
      <c r="AB37" s="0" t="n">
        <v>35772286572000</v>
      </c>
      <c r="AD37" s="0" t="n">
        <v>-1602819724000</v>
      </c>
      <c r="AE37" s="0" t="n">
        <v>6493978040000</v>
      </c>
      <c r="AF37" s="0" t="s">
        <v>706</v>
      </c>
      <c r="AG37" s="0" t="s">
        <v>644</v>
      </c>
    </row>
    <row r="38" customFormat="false" ht="15" hidden="false" customHeight="false" outlineLevel="0" collapsed="false">
      <c r="A38" s="0" t="s">
        <v>45</v>
      </c>
      <c r="B38" s="0" t="s">
        <v>447</v>
      </c>
      <c r="C38" s="0" t="s">
        <v>553</v>
      </c>
      <c r="D38" s="0" t="n">
        <v>33686864156000</v>
      </c>
      <c r="E38" s="0" t="n">
        <v>25040219160000</v>
      </c>
      <c r="F38" s="0" t="n">
        <v>8646644996000</v>
      </c>
      <c r="G38" s="0" t="n">
        <v>4775812888000</v>
      </c>
      <c r="H38" s="0" t="n">
        <v>5305137552000</v>
      </c>
      <c r="I38" s="0" t="n">
        <v>5887451988000</v>
      </c>
      <c r="J38" s="0" t="n">
        <v>3419353520000</v>
      </c>
      <c r="K38" s="0" t="n">
        <v>5143428312000</v>
      </c>
      <c r="L38" s="0" t="n">
        <v>1657188412000</v>
      </c>
      <c r="M38" s="0" t="n">
        <v>161709240000</v>
      </c>
      <c r="N38" s="0" t="n">
        <v>1129677000</v>
      </c>
      <c r="O38" s="0" t="n">
        <v>43087776204000</v>
      </c>
      <c r="P38" s="0" t="n">
        <v>8913384656000</v>
      </c>
      <c r="Q38" s="0" t="n">
        <v>33996332304000</v>
      </c>
      <c r="R38" s="0" t="n">
        <v>14468696968000</v>
      </c>
      <c r="S38" s="0" t="n">
        <v>1588170980000</v>
      </c>
      <c r="T38" s="0" t="n">
        <v>574828892000</v>
      </c>
      <c r="U38" s="0" t="n">
        <v>23201676432000</v>
      </c>
      <c r="V38" s="0" t="n">
        <v>6169574620000</v>
      </c>
      <c r="W38" s="0" t="n">
        <v>17032101812000</v>
      </c>
      <c r="X38" s="0" t="n">
        <v>2015348412000</v>
      </c>
      <c r="Y38" s="0" t="n">
        <v>2780199092000</v>
      </c>
      <c r="Z38" s="0" t="n">
        <v>2826777800000</v>
      </c>
      <c r="AA38" s="0" t="n">
        <v>26227823996000</v>
      </c>
      <c r="AB38" s="0" t="n">
        <v>34686363360000</v>
      </c>
      <c r="AD38" s="0" t="n">
        <v>-2144178564000</v>
      </c>
      <c r="AE38" s="0" t="n">
        <v>2968197276000</v>
      </c>
      <c r="AF38" s="0" t="s">
        <v>643</v>
      </c>
      <c r="AG38" s="0" t="s">
        <v>646</v>
      </c>
    </row>
    <row r="39" customFormat="false" ht="15" hidden="false" customHeight="false" outlineLevel="0" collapsed="false">
      <c r="A39" s="0" t="s">
        <v>46</v>
      </c>
      <c r="B39" s="0" t="s">
        <v>447</v>
      </c>
      <c r="C39" s="0" t="s">
        <v>699</v>
      </c>
      <c r="T39" s="0" t="n">
        <v>2240000000</v>
      </c>
      <c r="AF39" s="0" t="s">
        <v>707</v>
      </c>
      <c r="AG39" s="0" t="s">
        <v>648</v>
      </c>
    </row>
    <row r="40" customFormat="false" ht="15" hidden="false" customHeight="false" outlineLevel="0" collapsed="false">
      <c r="A40" s="0" t="s">
        <v>46</v>
      </c>
      <c r="B40" s="0" t="s">
        <v>447</v>
      </c>
      <c r="C40" s="0" t="s">
        <v>679</v>
      </c>
      <c r="D40" s="0" t="n">
        <v>42648590000000</v>
      </c>
      <c r="E40" s="0" t="n">
        <v>24682304000000</v>
      </c>
      <c r="F40" s="0" t="n">
        <v>17966286000000</v>
      </c>
      <c r="G40" s="0" t="n">
        <v>14563089000000</v>
      </c>
      <c r="H40" s="0" t="n">
        <v>16342776000000</v>
      </c>
      <c r="I40" s="0" t="n">
        <v>16608928000000</v>
      </c>
      <c r="J40" s="0" t="n">
        <v>12567582000000</v>
      </c>
      <c r="K40" s="0" t="n">
        <v>16202314000000</v>
      </c>
      <c r="L40" s="0" t="n">
        <v>3422887000000</v>
      </c>
      <c r="M40" s="0" t="n">
        <v>140462000000</v>
      </c>
      <c r="N40" s="0" t="n">
        <v>11487209350</v>
      </c>
      <c r="O40" s="0" t="n">
        <v>45359207000000</v>
      </c>
      <c r="P40" s="0" t="n">
        <v>16443161000000</v>
      </c>
      <c r="Q40" s="0" t="n">
        <v>28705068000000</v>
      </c>
      <c r="R40" s="0" t="n">
        <v>7030343000000</v>
      </c>
      <c r="S40" s="0" t="n">
        <v>1362201000000</v>
      </c>
      <c r="T40" s="0" t="n">
        <v>0</v>
      </c>
      <c r="U40" s="0" t="n">
        <v>24432148000000</v>
      </c>
      <c r="V40" s="0" t="n">
        <v>10701780000000</v>
      </c>
      <c r="W40" s="0" t="n">
        <v>13730368000000</v>
      </c>
      <c r="X40" s="0" t="n">
        <v>3837187000000</v>
      </c>
      <c r="Y40" s="0" t="n">
        <v>3509912000000</v>
      </c>
      <c r="Z40" s="0" t="n">
        <v>1935818000000</v>
      </c>
      <c r="AA40" s="0" t="n">
        <v>12561417000000</v>
      </c>
      <c r="AB40" s="0" t="n">
        <v>28707308000000</v>
      </c>
      <c r="AD40" s="0" t="n">
        <v>-904814000000</v>
      </c>
      <c r="AE40" s="0" t="n">
        <v>11622625000000</v>
      </c>
      <c r="AF40" s="0" t="s">
        <v>708</v>
      </c>
      <c r="AG40" s="0" t="s">
        <v>650</v>
      </c>
    </row>
    <row r="41" customFormat="false" ht="15" hidden="false" customHeight="false" outlineLevel="0" collapsed="false">
      <c r="A41" s="0" t="s">
        <v>46</v>
      </c>
      <c r="B41" s="0" t="s">
        <v>447</v>
      </c>
      <c r="C41" s="0" t="s">
        <v>681</v>
      </c>
      <c r="D41" s="0" t="n">
        <v>38488867000000</v>
      </c>
      <c r="E41" s="0" t="n">
        <v>29331562000000</v>
      </c>
      <c r="F41" s="0" t="n">
        <v>9157305000000</v>
      </c>
      <c r="G41" s="0" t="n">
        <v>6731359000000</v>
      </c>
      <c r="H41" s="0" t="n">
        <v>8270277000000</v>
      </c>
      <c r="I41" s="0" t="n">
        <v>8582028000000</v>
      </c>
      <c r="J41" s="0" t="n">
        <v>6105856000000</v>
      </c>
      <c r="K41" s="0" t="n">
        <v>8154313000000</v>
      </c>
      <c r="L41" s="0" t="n">
        <v>1861792000000</v>
      </c>
      <c r="M41" s="0" t="n">
        <v>115964000000</v>
      </c>
      <c r="N41" s="0" t="n">
        <v>11487209350</v>
      </c>
      <c r="O41" s="0" t="n">
        <v>38765189000000</v>
      </c>
      <c r="P41" s="0" t="n">
        <v>17201993000000</v>
      </c>
      <c r="Q41" s="0" t="n">
        <v>21434538000000</v>
      </c>
      <c r="R41" s="0" t="n">
        <v>4138867000000</v>
      </c>
      <c r="S41" s="0" t="n">
        <v>1301682000000</v>
      </c>
      <c r="U41" s="0" t="n">
        <v>15148356000000</v>
      </c>
      <c r="V41" s="0" t="n">
        <v>9968101000000</v>
      </c>
      <c r="W41" s="0" t="n">
        <v>5180255000000</v>
      </c>
      <c r="X41" s="0" t="n">
        <v>5499614000000</v>
      </c>
      <c r="Y41" s="0" t="n">
        <v>3797292000000</v>
      </c>
      <c r="Z41" s="0" t="n">
        <v>2082188000000</v>
      </c>
      <c r="AA41" s="0" t="n">
        <v>5288732000000</v>
      </c>
      <c r="AB41" s="0" t="n">
        <v>21502538000000</v>
      </c>
      <c r="AD41" s="0" t="n">
        <v>-1009557000000</v>
      </c>
      <c r="AE41" s="0" t="n">
        <v>2095150000000</v>
      </c>
      <c r="AF41" s="0" t="s">
        <v>709</v>
      </c>
      <c r="AG41" s="0" t="s">
        <v>652</v>
      </c>
    </row>
    <row r="42" customFormat="false" ht="15" hidden="false" customHeight="false" outlineLevel="0" collapsed="false">
      <c r="A42" s="0" t="s">
        <v>46</v>
      </c>
      <c r="B42" s="0" t="s">
        <v>447</v>
      </c>
      <c r="C42" s="0" t="s">
        <v>560</v>
      </c>
      <c r="D42" s="0" t="n">
        <v>42764968000000</v>
      </c>
      <c r="E42" s="0" t="n">
        <v>34562758000000</v>
      </c>
      <c r="F42" s="0" t="n">
        <v>8202210000000</v>
      </c>
      <c r="G42" s="0" t="n">
        <v>5225604000000</v>
      </c>
      <c r="H42" s="0" t="n">
        <v>6433535000000</v>
      </c>
      <c r="I42" s="0" t="n">
        <v>6732543000000</v>
      </c>
      <c r="J42" s="0" t="n">
        <v>5103720000000</v>
      </c>
      <c r="K42" s="0" t="n">
        <v>6259246000000</v>
      </c>
      <c r="L42" s="0" t="n">
        <v>1119823000000</v>
      </c>
      <c r="M42" s="0" t="n">
        <v>174289000000</v>
      </c>
      <c r="N42" s="0" t="n">
        <v>11507459013</v>
      </c>
      <c r="O42" s="0" t="n">
        <v>41785576000000</v>
      </c>
      <c r="P42" s="0" t="n">
        <v>19141764000000</v>
      </c>
      <c r="Q42" s="0" t="n">
        <v>22505288000000</v>
      </c>
      <c r="R42" s="0" t="n">
        <v>4132858000000</v>
      </c>
      <c r="S42" s="0" t="n">
        <v>2251033000000</v>
      </c>
      <c r="T42" s="0" t="n">
        <v>0</v>
      </c>
      <c r="U42" s="0" t="n">
        <v>15233514000000</v>
      </c>
      <c r="V42" s="0" t="n">
        <v>11974820000000</v>
      </c>
      <c r="W42" s="0" t="n">
        <v>3258694000000</v>
      </c>
      <c r="X42" s="0" t="n">
        <v>4869337000000</v>
      </c>
      <c r="Y42" s="0" t="n">
        <v>5030071000000</v>
      </c>
      <c r="Z42" s="0" t="n">
        <v>2920012000000</v>
      </c>
      <c r="AA42" s="0" t="n">
        <v>5868485000000</v>
      </c>
      <c r="AB42" s="0" t="n">
        <v>23902968000000</v>
      </c>
      <c r="AD42" s="0" t="n">
        <v>-1231886000000</v>
      </c>
      <c r="AE42" s="0" t="n">
        <v>3817304000000</v>
      </c>
      <c r="AF42" s="0" t="s">
        <v>647</v>
      </c>
      <c r="AG42" s="0" t="s">
        <v>654</v>
      </c>
    </row>
    <row r="43" customFormat="false" ht="15" hidden="false" customHeight="false" outlineLevel="0" collapsed="false">
      <c r="A43" s="0" t="s">
        <v>46</v>
      </c>
      <c r="B43" s="0" t="s">
        <v>447</v>
      </c>
      <c r="C43" s="0" t="s">
        <v>553</v>
      </c>
      <c r="D43" s="0" t="n">
        <v>42651724000000</v>
      </c>
      <c r="E43" s="0" t="n">
        <v>36394624000000</v>
      </c>
      <c r="F43" s="0" t="n">
        <v>6257100000000</v>
      </c>
      <c r="G43" s="0" t="n">
        <v>2947327000000</v>
      </c>
      <c r="H43" s="0" t="n">
        <v>3995860000000</v>
      </c>
      <c r="I43" s="0" t="n">
        <v>4295996000000</v>
      </c>
      <c r="J43" s="0" t="n">
        <v>2929957000000</v>
      </c>
      <c r="K43" s="0" t="n">
        <v>3773209000000</v>
      </c>
      <c r="L43" s="0" t="n">
        <v>813973000000</v>
      </c>
      <c r="M43" s="0" t="n">
        <v>222651000000</v>
      </c>
      <c r="N43" s="0" t="n">
        <v>11520659250</v>
      </c>
      <c r="O43" s="0" t="n">
        <v>43917063000000</v>
      </c>
      <c r="P43" s="0" t="n">
        <v>21300262000000</v>
      </c>
      <c r="Q43" s="0" t="n">
        <v>22483714000000</v>
      </c>
      <c r="R43" s="0" t="n">
        <v>4522194000000</v>
      </c>
      <c r="S43" s="0" t="n">
        <v>3857183000000</v>
      </c>
      <c r="T43" s="0" t="n">
        <v>1277425000000</v>
      </c>
      <c r="U43" s="0" t="n">
        <v>14241193000000</v>
      </c>
      <c r="V43" s="0" t="n">
        <v>12727127000000</v>
      </c>
      <c r="W43" s="0" t="n">
        <v>1514066000000</v>
      </c>
      <c r="X43" s="0" t="n">
        <v>4883306000000</v>
      </c>
      <c r="Y43" s="0" t="n">
        <v>3934867000000</v>
      </c>
      <c r="Z43" s="0" t="n">
        <v>3624478000000</v>
      </c>
      <c r="AA43" s="0" t="n">
        <v>5540602000000</v>
      </c>
      <c r="AB43" s="0" t="n">
        <v>25711239000000</v>
      </c>
      <c r="AD43" s="0" t="n">
        <v>-3505367000000</v>
      </c>
      <c r="AE43" s="0" t="n">
        <v>2755461000000</v>
      </c>
      <c r="AF43" s="0" t="s">
        <v>653</v>
      </c>
      <c r="AG43" s="0" t="s">
        <v>656</v>
      </c>
    </row>
    <row r="44" customFormat="false" ht="15" hidden="false" customHeight="false" outlineLevel="0" collapsed="false">
      <c r="A44" s="0" t="s">
        <v>50</v>
      </c>
      <c r="B44" s="0" t="s">
        <v>447</v>
      </c>
      <c r="C44" s="0" t="s">
        <v>679</v>
      </c>
      <c r="D44" s="0" t="n">
        <v>147306000000000</v>
      </c>
      <c r="E44" s="0" t="n">
        <v>43624000000000</v>
      </c>
      <c r="F44" s="0" t="n">
        <v>103682000000000</v>
      </c>
      <c r="G44" s="0" t="n">
        <v>45898000000000</v>
      </c>
      <c r="H44" s="0" t="n">
        <v>40507000000000</v>
      </c>
      <c r="I44" s="0" t="n">
        <v>73636000000000</v>
      </c>
      <c r="J44" s="0" t="n">
        <v>20736000000000</v>
      </c>
      <c r="K44" s="0" t="n">
        <v>36430000000000</v>
      </c>
      <c r="L44" s="0" t="n">
        <v>8710000000000</v>
      </c>
      <c r="M44" s="0" t="n">
        <v>4077000000000</v>
      </c>
      <c r="N44" s="0" t="n">
        <v>99062216599</v>
      </c>
      <c r="O44" s="0" t="n">
        <v>274817000000000</v>
      </c>
      <c r="P44" s="0" t="n">
        <v>125742000000000</v>
      </c>
      <c r="Q44" s="0" t="n">
        <v>129224000000000</v>
      </c>
      <c r="R44" s="0" t="n">
        <v>31947000000000</v>
      </c>
      <c r="S44" s="0" t="n">
        <v>62853000000000</v>
      </c>
      <c r="T44" s="0" t="n">
        <v>27331000000000</v>
      </c>
      <c r="U44" s="0" t="n">
        <v>55073000000000</v>
      </c>
      <c r="V44" s="0" t="n">
        <v>70235000000000</v>
      </c>
      <c r="W44" s="0" t="n">
        <v>-15162000000000</v>
      </c>
      <c r="X44" s="0" t="n">
        <v>1144000000000</v>
      </c>
      <c r="Y44" s="0" t="n">
        <v>8634000000000</v>
      </c>
      <c r="Z44" s="0" t="n">
        <v>18457000000000</v>
      </c>
      <c r="AA44" s="0" t="n">
        <v>121730000000000</v>
      </c>
      <c r="AB44" s="0" t="n">
        <v>173604000000000</v>
      </c>
      <c r="AD44" s="0" t="n">
        <v>-38269000000000</v>
      </c>
      <c r="AE44" s="0" t="n">
        <v>35085000000000</v>
      </c>
      <c r="AF44" s="0" t="s">
        <v>710</v>
      </c>
      <c r="AG44" s="0" t="s">
        <v>662</v>
      </c>
    </row>
    <row r="45" customFormat="false" ht="15" hidden="false" customHeight="false" outlineLevel="0" collapsed="false">
      <c r="A45" s="0" t="s">
        <v>50</v>
      </c>
      <c r="B45" s="0" t="s">
        <v>447</v>
      </c>
      <c r="C45" s="0" t="s">
        <v>681</v>
      </c>
      <c r="D45" s="0" t="n">
        <v>149216000000000</v>
      </c>
      <c r="E45" s="0" t="n">
        <v>46081000000000</v>
      </c>
      <c r="F45" s="0" t="n">
        <v>103135000000000</v>
      </c>
      <c r="G45" s="0" t="n">
        <v>43573000000000</v>
      </c>
      <c r="H45" s="0" t="n">
        <v>43851000000000</v>
      </c>
      <c r="I45" s="0" t="n">
        <v>78116000000000</v>
      </c>
      <c r="J45" s="0" t="n">
        <v>23053000000000</v>
      </c>
      <c r="K45" s="0" t="n">
        <v>39159000000000</v>
      </c>
      <c r="L45" s="0" t="n">
        <v>8465000000000</v>
      </c>
      <c r="M45" s="0" t="n">
        <v>4692000000000</v>
      </c>
      <c r="N45" s="0" t="n">
        <v>99062216600</v>
      </c>
      <c r="O45" s="0" t="n">
        <v>279552000000000</v>
      </c>
      <c r="P45" s="0" t="n">
        <v>130357000000000</v>
      </c>
      <c r="Q45" s="0" t="n">
        <v>128536000000000</v>
      </c>
      <c r="R45" s="0" t="n">
        <v>29007000000000</v>
      </c>
      <c r="S45" s="0" t="n">
        <v>68001000000000</v>
      </c>
      <c r="T45" s="0" t="n">
        <v>27773000000000</v>
      </c>
      <c r="U45" s="0" t="n">
        <v>55628000000000</v>
      </c>
      <c r="V45" s="0" t="n">
        <v>71451000000000</v>
      </c>
      <c r="W45" s="0" t="n">
        <v>-15823000000000</v>
      </c>
      <c r="X45" s="0" t="n">
        <v>997000000000</v>
      </c>
      <c r="Y45" s="0" t="n">
        <v>10948000000000</v>
      </c>
      <c r="Z45" s="0" t="n">
        <v>19049000000000</v>
      </c>
      <c r="AA45" s="0" t="n">
        <v>121106000000000</v>
      </c>
      <c r="AB45" s="0" t="n">
        <v>176235000000000</v>
      </c>
      <c r="AD45" s="0" t="n">
        <v>-36420000000000</v>
      </c>
      <c r="AE45" s="0" t="n">
        <v>24161000000000</v>
      </c>
      <c r="AF45" s="0" t="s">
        <v>711</v>
      </c>
      <c r="AG45" s="0" t="s">
        <v>664</v>
      </c>
    </row>
    <row r="46" customFormat="false" ht="15" hidden="false" customHeight="false" outlineLevel="0" collapsed="false">
      <c r="A46" s="0" t="s">
        <v>50</v>
      </c>
      <c r="B46" s="0" t="s">
        <v>447</v>
      </c>
      <c r="C46" s="0" t="s">
        <v>560</v>
      </c>
      <c r="D46" s="0" t="n">
        <v>149967000000000</v>
      </c>
      <c r="E46" s="0" t="n">
        <v>48082000000000</v>
      </c>
      <c r="F46" s="0" t="n">
        <v>101885000000000</v>
      </c>
      <c r="G46" s="0" t="n">
        <v>41147000000000</v>
      </c>
      <c r="H46" s="0" t="n">
        <v>42841000000000</v>
      </c>
      <c r="I46" s="0" t="n">
        <v>76975000000000</v>
      </c>
      <c r="J46" s="0" t="n">
        <v>22365000000000</v>
      </c>
      <c r="K46" s="0" t="n">
        <v>37620000000000</v>
      </c>
      <c r="L46" s="0" t="n">
        <v>8141000000000</v>
      </c>
      <c r="M46" s="0" t="n">
        <v>5221000000000</v>
      </c>
      <c r="N46" s="0" t="n">
        <v>99062216600</v>
      </c>
      <c r="O46" s="0" t="n">
        <v>291011000000000</v>
      </c>
      <c r="P46" s="0" t="n">
        <v>137151000000000</v>
      </c>
      <c r="Q46" s="0" t="n">
        <v>133602000000000</v>
      </c>
      <c r="R46" s="0" t="n">
        <v>33905000000000</v>
      </c>
      <c r="S46" s="0" t="n">
        <v>76834000000000</v>
      </c>
      <c r="T46" s="0" t="n">
        <v>25518000000000</v>
      </c>
      <c r="U46" s="0" t="n">
        <v>63094000000000</v>
      </c>
      <c r="V46" s="0" t="n">
        <v>76723000000000</v>
      </c>
      <c r="W46" s="0" t="n">
        <v>-13629000000000</v>
      </c>
      <c r="X46" s="0" t="n">
        <v>1096000000000</v>
      </c>
      <c r="Y46" s="0" t="n">
        <v>12193000000000</v>
      </c>
      <c r="Z46" s="0" t="n">
        <v>15790000000000</v>
      </c>
      <c r="AA46" s="0" t="n">
        <v>125913000000000</v>
      </c>
      <c r="AB46" s="0" t="n">
        <v>186511000000000</v>
      </c>
      <c r="AD46" s="0" t="n">
        <v>-29663000000000</v>
      </c>
      <c r="AE46" s="0" t="n">
        <v>31937000000000</v>
      </c>
      <c r="AF46" s="0" t="s">
        <v>712</v>
      </c>
      <c r="AG46" s="0" t="s">
        <v>666</v>
      </c>
    </row>
    <row r="47" customFormat="false" ht="15" hidden="false" customHeight="false" outlineLevel="0" collapsed="false">
      <c r="A47" s="0" t="s">
        <v>50</v>
      </c>
      <c r="B47" s="0" t="s">
        <v>447</v>
      </c>
      <c r="C47" s="0" t="s">
        <v>553</v>
      </c>
      <c r="D47" s="0" t="n">
        <v>146742000000000</v>
      </c>
      <c r="E47" s="0" t="n">
        <v>48252000000000</v>
      </c>
      <c r="F47" s="0" t="n">
        <v>98490000000000</v>
      </c>
      <c r="G47" s="0" t="n">
        <v>34119000000000</v>
      </c>
      <c r="H47" s="0" t="n">
        <v>35717000000000</v>
      </c>
      <c r="I47" s="0" t="n">
        <v>73370000000000</v>
      </c>
      <c r="J47" s="0" t="n">
        <v>17486000000000</v>
      </c>
      <c r="K47" s="0" t="n">
        <v>30509000000000</v>
      </c>
      <c r="L47" s="0" t="n">
        <v>6541000000000</v>
      </c>
      <c r="M47" s="0" t="n">
        <v>5208000000000</v>
      </c>
      <c r="N47" s="0" t="n">
        <v>99061024659</v>
      </c>
      <c r="O47" s="0" t="n">
        <v>287280000000000</v>
      </c>
      <c r="P47" s="0" t="n">
        <v>137577000000000</v>
      </c>
      <c r="Q47" s="0" t="n">
        <v>130151000000000</v>
      </c>
      <c r="R47" s="0" t="n">
        <v>34228000000000</v>
      </c>
      <c r="S47" s="0" t="n">
        <v>75266000000000</v>
      </c>
      <c r="T47" s="0" t="n">
        <v>26099000000000</v>
      </c>
      <c r="U47" s="0" t="n">
        <v>61780000000000</v>
      </c>
      <c r="V47" s="0" t="n">
        <v>74303000000000</v>
      </c>
      <c r="W47" s="0" t="n">
        <v>-12523000000000</v>
      </c>
      <c r="X47" s="0" t="n">
        <v>901000000000</v>
      </c>
      <c r="Y47" s="0" t="n">
        <v>11223000000000</v>
      </c>
      <c r="Z47" s="0" t="n">
        <v>16832000000000</v>
      </c>
      <c r="AA47" s="0" t="n">
        <v>122131000000000</v>
      </c>
      <c r="AB47" s="0" t="n">
        <v>180925000000000</v>
      </c>
      <c r="AD47" s="0" t="n">
        <v>-25768000000000</v>
      </c>
      <c r="AE47" s="0" t="n">
        <v>38074000000000</v>
      </c>
      <c r="AF47" s="0" t="s">
        <v>663</v>
      </c>
      <c r="AG47" s="0" t="s">
        <v>668</v>
      </c>
    </row>
    <row r="48" customFormat="false" ht="15" hidden="false" customHeight="false" outlineLevel="0" collapsed="false">
      <c r="A48" s="0" t="s">
        <v>51</v>
      </c>
      <c r="B48" s="0" t="s">
        <v>447</v>
      </c>
      <c r="C48" s="0" t="s">
        <v>679</v>
      </c>
      <c r="D48" s="0" t="n">
        <v>41218881000000</v>
      </c>
      <c r="E48" s="0" t="n">
        <v>22153944000000</v>
      </c>
      <c r="F48" s="0" t="n">
        <v>19064937000000</v>
      </c>
      <c r="G48" s="0" t="n">
        <v>7068808000000</v>
      </c>
      <c r="H48" s="0" t="n">
        <v>7079014000000</v>
      </c>
      <c r="I48" s="0" t="n">
        <v>7504564000000</v>
      </c>
      <c r="J48" s="0" t="n">
        <v>5364761000000</v>
      </c>
      <c r="K48" s="0" t="n">
        <v>6993803000000</v>
      </c>
      <c r="L48" s="0" t="n">
        <v>1629042000000</v>
      </c>
      <c r="M48" s="0" t="n">
        <v>85211000000</v>
      </c>
      <c r="N48" s="0" t="n">
        <v>38150000000</v>
      </c>
      <c r="O48" s="0" t="n">
        <v>18318114000000</v>
      </c>
      <c r="P48" s="0" t="n">
        <v>14320858000000</v>
      </c>
      <c r="Q48" s="0" t="n">
        <v>3997256000000</v>
      </c>
      <c r="R48" s="0" t="n">
        <v>502882000000</v>
      </c>
      <c r="S48" s="0" t="n">
        <v>1284026000000</v>
      </c>
      <c r="U48" s="0" t="n">
        <v>7567768000000</v>
      </c>
      <c r="V48" s="0" t="n">
        <v>12442223000000</v>
      </c>
      <c r="W48" s="0" t="n">
        <v>-4874455000000</v>
      </c>
      <c r="X48" s="0" t="n">
        <v>2625116000000</v>
      </c>
      <c r="Y48" s="0" t="n">
        <v>3924499000000</v>
      </c>
      <c r="Z48" s="0" t="n">
        <v>4699974000000</v>
      </c>
      <c r="AA48" s="0" t="n">
        <v>3809696000000</v>
      </c>
      <c r="AB48" s="0" t="n">
        <v>4597256000000</v>
      </c>
      <c r="AD48" s="0" t="n">
        <v>-638363000000</v>
      </c>
      <c r="AE48" s="0" t="n">
        <v>7422951000000</v>
      </c>
      <c r="AF48" s="0" t="s">
        <v>713</v>
      </c>
      <c r="AG48" s="0" t="s">
        <v>672</v>
      </c>
    </row>
    <row r="49" customFormat="false" ht="15" hidden="false" customHeight="false" outlineLevel="0" collapsed="false">
      <c r="A49" s="0" t="s">
        <v>51</v>
      </c>
      <c r="B49" s="0" t="s">
        <v>447</v>
      </c>
      <c r="C49" s="0" t="s">
        <v>681</v>
      </c>
      <c r="D49" s="0" t="n">
        <v>38611401000000</v>
      </c>
      <c r="E49" s="0" t="n">
        <v>19416887000000</v>
      </c>
      <c r="F49" s="0" t="n">
        <v>19194514000000</v>
      </c>
      <c r="G49" s="0" t="n">
        <v>6279283000000</v>
      </c>
      <c r="H49" s="0" t="n">
        <v>6307846000000</v>
      </c>
      <c r="I49" s="0" t="n">
        <v>6690717000000</v>
      </c>
      <c r="J49" s="0" t="n">
        <v>4800940000000</v>
      </c>
      <c r="K49" s="0" t="n">
        <v>6201876000000</v>
      </c>
      <c r="L49" s="0" t="n">
        <v>1400936000000</v>
      </c>
      <c r="M49" s="0" t="n">
        <v>105970000000</v>
      </c>
      <c r="N49" s="0" t="n">
        <v>38150000000</v>
      </c>
      <c r="O49" s="0" t="n">
        <v>16664086000000</v>
      </c>
      <c r="P49" s="0" t="n">
        <v>13282848000000</v>
      </c>
      <c r="Q49" s="0" t="n">
        <v>3381238000000</v>
      </c>
      <c r="R49" s="0" t="n">
        <v>1020598000000</v>
      </c>
      <c r="S49" s="0" t="n">
        <v>750783000000</v>
      </c>
      <c r="U49" s="0" t="n">
        <v>6191839000000</v>
      </c>
      <c r="V49" s="0" t="n">
        <v>11223968000000</v>
      </c>
      <c r="W49" s="0" t="n">
        <v>-5032129000000</v>
      </c>
      <c r="X49" s="0" t="n">
        <v>2422044000000</v>
      </c>
      <c r="Y49" s="0" t="n">
        <v>2343012000000</v>
      </c>
      <c r="Z49" s="0" t="n">
        <v>4063637000000</v>
      </c>
      <c r="AA49" s="0" t="n">
        <v>3193678000000</v>
      </c>
      <c r="AB49" s="0" t="n">
        <v>3381238000000</v>
      </c>
      <c r="AD49" s="0" t="n">
        <v>-835028000000</v>
      </c>
      <c r="AE49" s="0" t="n">
        <v>6283060000000</v>
      </c>
      <c r="AF49" s="0" t="s">
        <v>714</v>
      </c>
      <c r="AG49" s="0" t="s">
        <v>674</v>
      </c>
    </row>
    <row r="50" customFormat="false" ht="15" hidden="false" customHeight="false" outlineLevel="0" collapsed="false">
      <c r="A50" s="0" t="s">
        <v>51</v>
      </c>
      <c r="B50" s="0" t="s">
        <v>447</v>
      </c>
      <c r="C50" s="0" t="s">
        <v>560</v>
      </c>
      <c r="D50" s="0" t="n">
        <v>30622614000000</v>
      </c>
      <c r="E50" s="0" t="n">
        <v>16062942000000</v>
      </c>
      <c r="F50" s="0" t="n">
        <v>14559672000000</v>
      </c>
      <c r="G50" s="0" t="n">
        <v>3807317000000</v>
      </c>
      <c r="H50" s="0" t="n">
        <v>3823418000000</v>
      </c>
      <c r="I50" s="0" t="n">
        <v>4038112000000</v>
      </c>
      <c r="J50" s="0" t="n">
        <v>3368693000000</v>
      </c>
      <c r="K50" s="0" t="n">
        <v>3751144000000</v>
      </c>
      <c r="L50" s="0" t="n">
        <v>846496000000</v>
      </c>
      <c r="M50" s="0" t="n">
        <v>72274000000</v>
      </c>
      <c r="N50" s="0" t="n">
        <v>38150000000</v>
      </c>
      <c r="O50" s="0" t="n">
        <v>16046195000000</v>
      </c>
      <c r="P50" s="0" t="n">
        <v>13896928000000</v>
      </c>
      <c r="Q50" s="0" t="n">
        <v>2149267000000</v>
      </c>
      <c r="R50" s="0" t="n">
        <v>671180000000</v>
      </c>
      <c r="S50" s="0" t="n">
        <v>1980632000000</v>
      </c>
      <c r="U50" s="0" t="n">
        <v>5280548000000</v>
      </c>
      <c r="V50" s="0" t="n">
        <v>11830201000000</v>
      </c>
      <c r="W50" s="0" t="n">
        <v>-6549653000000</v>
      </c>
      <c r="X50" s="0" t="n">
        <v>2505852000000</v>
      </c>
      <c r="Y50" s="0" t="n">
        <v>1880942000000</v>
      </c>
      <c r="Z50" s="0" t="n">
        <v>3983297000000</v>
      </c>
      <c r="AA50" s="0" t="n">
        <v>1961707000000</v>
      </c>
      <c r="AB50" s="0" t="n">
        <v>3599267000000</v>
      </c>
      <c r="AD50" s="0" t="n">
        <v>-1072728000000</v>
      </c>
      <c r="AE50" s="0" t="n">
        <v>2887254000000</v>
      </c>
      <c r="AF50" s="0" t="s">
        <v>715</v>
      </c>
      <c r="AG50" s="0" t="s">
        <v>676</v>
      </c>
    </row>
    <row r="51" customFormat="false" ht="15" hidden="false" customHeight="false" outlineLevel="0" collapsed="false">
      <c r="A51" s="0" t="s">
        <v>51</v>
      </c>
      <c r="B51" s="0" t="s">
        <v>447</v>
      </c>
      <c r="C51" s="0" t="s">
        <v>553</v>
      </c>
      <c r="D51" s="0" t="n">
        <v>31943461000000</v>
      </c>
      <c r="E51" s="0" t="n">
        <v>16946367000000</v>
      </c>
      <c r="F51" s="0" t="n">
        <v>14997094000000</v>
      </c>
      <c r="G51" s="0" t="n">
        <v>4592021000000</v>
      </c>
      <c r="H51" s="0" t="n">
        <v>4616468000000</v>
      </c>
      <c r="I51" s="0" t="n">
        <v>4866625000000</v>
      </c>
      <c r="J51" s="0" t="n">
        <v>7641161000000</v>
      </c>
      <c r="K51" s="0" t="n">
        <v>4498280000000</v>
      </c>
      <c r="L51" s="0" t="n">
        <v>960983000000</v>
      </c>
      <c r="M51" s="0" t="n">
        <v>118188000000</v>
      </c>
      <c r="N51" s="0" t="n">
        <v>38087000000</v>
      </c>
      <c r="O51" s="0" t="n">
        <v>20017339000000</v>
      </c>
      <c r="P51" s="0" t="n">
        <v>15542221000000</v>
      </c>
      <c r="Q51" s="0" t="n">
        <v>4475118000000</v>
      </c>
      <c r="R51" s="0" t="n">
        <v>5705674000000</v>
      </c>
      <c r="S51" s="0" t="n">
        <v>644841000000</v>
      </c>
      <c r="U51" s="0" t="n">
        <v>10544623000000</v>
      </c>
      <c r="V51" s="0" t="n">
        <v>14222619000000</v>
      </c>
      <c r="W51" s="0" t="n">
        <v>-3677996000000</v>
      </c>
      <c r="X51" s="0" t="n">
        <v>2453106000000</v>
      </c>
      <c r="Y51" s="0" t="n">
        <v>1677683000000</v>
      </c>
      <c r="Z51" s="0" t="n">
        <v>4695329000000</v>
      </c>
      <c r="AA51" s="0" t="n">
        <v>4572603000000</v>
      </c>
      <c r="AB51" s="0" t="n">
        <v>4475118000000</v>
      </c>
      <c r="AD51" s="0" t="n">
        <v>-862296000000</v>
      </c>
      <c r="AE51" s="0" t="n">
        <v>4935200000000</v>
      </c>
      <c r="AF51" s="0" t="s">
        <v>673</v>
      </c>
      <c r="AG51" s="0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2026-08-10T02:10:46Z</dcterms:created>
  <dc:creator>openpyxl</dc:creator>
  <dc:description/>
  <dc:language>en-US</dc:language>
  <cp:lastModifiedBy/>
  <dcterms:modified xsi:type="dcterms:W3CDTF">2026-08-10T02:10:46Z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